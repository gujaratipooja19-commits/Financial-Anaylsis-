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gesh MS\"/>
    </mc:Choice>
  </mc:AlternateContent>
  <xr:revisionPtr revIDLastSave="0" documentId="8_{59CE89B9-4E11-4C64-B043-EA25A0F728F1}" xr6:coauthVersionLast="47" xr6:coauthVersionMax="47" xr10:uidLastSave="{00000000-0000-0000-0000-000000000000}"/>
  <bookViews>
    <workbookView xWindow="-108" yWindow="-108" windowWidth="23256" windowHeight="12456" activeTab="3" xr2:uid="{A039F7F7-0799-4F47-8F49-D440A81D79D6}"/>
  </bookViews>
  <sheets>
    <sheet name="Finacial Anaylsis" sheetId="1" r:id="rId1"/>
    <sheet name="Vertical Anaylsis" sheetId="2" r:id="rId2"/>
    <sheet name="Horizontal anaylsis" sheetId="3" r:id="rId3"/>
    <sheet name="Ratio Anayl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  <c r="E16" i="3"/>
  <c r="F16" i="3"/>
  <c r="D23" i="4"/>
  <c r="E23" i="4"/>
  <c r="F23" i="4"/>
  <c r="D24" i="4"/>
  <c r="E24" i="4"/>
  <c r="F24" i="4"/>
  <c r="D25" i="4"/>
  <c r="E25" i="4"/>
  <c r="F25" i="4"/>
  <c r="C25" i="4"/>
  <c r="C24" i="4"/>
  <c r="C25" i="2"/>
  <c r="D25" i="2"/>
  <c r="C23" i="4"/>
  <c r="C20" i="4"/>
  <c r="D20" i="4"/>
  <c r="E20" i="4"/>
  <c r="F20" i="4"/>
  <c r="D19" i="4"/>
  <c r="E19" i="4"/>
  <c r="F19" i="4"/>
  <c r="C19" i="4"/>
  <c r="D16" i="4"/>
  <c r="E16" i="4"/>
  <c r="F16" i="4"/>
  <c r="D17" i="4"/>
  <c r="E17" i="4"/>
  <c r="F17" i="4"/>
  <c r="C17" i="4"/>
  <c r="C16" i="4"/>
  <c r="D15" i="4"/>
  <c r="E15" i="4"/>
  <c r="F15" i="4"/>
  <c r="C15" i="4"/>
  <c r="D14" i="4"/>
  <c r="E14" i="4"/>
  <c r="F14" i="4"/>
  <c r="C14" i="4"/>
  <c r="C11" i="4"/>
  <c r="D11" i="4"/>
  <c r="E11" i="4"/>
  <c r="F11" i="4"/>
  <c r="C12" i="4"/>
  <c r="D12" i="4"/>
  <c r="E12" i="4"/>
  <c r="F12" i="4"/>
  <c r="D10" i="4"/>
  <c r="E10" i="4"/>
  <c r="C10" i="4"/>
  <c r="C8" i="4"/>
  <c r="F7" i="4"/>
  <c r="E7" i="4"/>
  <c r="D7" i="4"/>
  <c r="C7" i="4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5" i="4"/>
  <c r="E5" i="4"/>
  <c r="D5" i="4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F4" i="4" s="1"/>
  <c r="E3" i="3"/>
  <c r="E4" i="4" s="1"/>
  <c r="D3" i="3"/>
  <c r="D4" i="4" s="1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17" i="2"/>
  <c r="F10" i="4" s="1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F9" i="4" s="1"/>
  <c r="E13" i="2"/>
  <c r="E9" i="4" s="1"/>
  <c r="D13" i="2"/>
  <c r="D9" i="4" s="1"/>
  <c r="C13" i="2"/>
  <c r="C9" i="4" s="1"/>
  <c r="F12" i="2"/>
  <c r="E12" i="2"/>
  <c r="D12" i="2"/>
  <c r="C12" i="2"/>
  <c r="F11" i="2"/>
  <c r="F8" i="4" s="1"/>
  <c r="E11" i="2"/>
  <c r="E8" i="4" s="1"/>
  <c r="D11" i="2"/>
  <c r="D8" i="4" s="1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</calcChain>
</file>

<file path=xl/sharedStrings.xml><?xml version="1.0" encoding="utf-8"?>
<sst xmlns="http://schemas.openxmlformats.org/spreadsheetml/2006/main" count="217" uniqueCount="84">
  <si>
    <t>Financial Statement Analysis</t>
  </si>
  <si>
    <t>Financial Modelling Course</t>
  </si>
  <si>
    <t>2022A</t>
  </si>
  <si>
    <t>2023A</t>
  </si>
  <si>
    <t>2024A</t>
  </si>
  <si>
    <t>2025A</t>
  </si>
  <si>
    <t>Revenue from operations</t>
  </si>
  <si>
    <t>Other Income</t>
  </si>
  <si>
    <t>TOTAL</t>
  </si>
  <si>
    <t>Cost of Goods Sold</t>
  </si>
  <si>
    <t>Employee Cost</t>
  </si>
  <si>
    <t>Other Expenses</t>
  </si>
  <si>
    <t>EBITDA</t>
  </si>
  <si>
    <t>Depreciation &amp; Amortization</t>
  </si>
  <si>
    <t>EBIT</t>
  </si>
  <si>
    <t>Interest</t>
  </si>
  <si>
    <t>Profit Before Taxes</t>
  </si>
  <si>
    <t>Taxes</t>
  </si>
  <si>
    <t>Profit for the Year</t>
  </si>
  <si>
    <t>SOURCES OF FUNDS</t>
  </si>
  <si>
    <t>Shareholder Funds</t>
  </si>
  <si>
    <t>Share Capital</t>
  </si>
  <si>
    <t>Reserves &amp; Surplus</t>
  </si>
  <si>
    <t>Minority Interest</t>
  </si>
  <si>
    <t>Long Term Liabilities</t>
  </si>
  <si>
    <t>Loans</t>
  </si>
  <si>
    <t>Other Long Term Liabilities</t>
  </si>
  <si>
    <t>Long Term Provisions</t>
  </si>
  <si>
    <t>Deferred Tax Liabilities</t>
  </si>
  <si>
    <t>Current Liabilities</t>
  </si>
  <si>
    <t>Tax Liabilities</t>
  </si>
  <si>
    <t>Short Term Borrowings</t>
  </si>
  <si>
    <t>Trade Payables</t>
  </si>
  <si>
    <t>Other Current Liabilities</t>
  </si>
  <si>
    <t>Short Term Provisions</t>
  </si>
  <si>
    <t>Other Finance Liabilities</t>
  </si>
  <si>
    <t>APPLICATION OF FUNDS</t>
  </si>
  <si>
    <t>Long Term Assets</t>
  </si>
  <si>
    <t>Tangible Assets</t>
  </si>
  <si>
    <t>Intangible Assets</t>
  </si>
  <si>
    <t>Capital Work in Progress</t>
  </si>
  <si>
    <t>Non-Current Investments</t>
  </si>
  <si>
    <t>Other Financial Assets</t>
  </si>
  <si>
    <t>Long Term Loans and Advances</t>
  </si>
  <si>
    <t>Other Non Current Assets</t>
  </si>
  <si>
    <t>Current Assets</t>
  </si>
  <si>
    <t>Inventories</t>
  </si>
  <si>
    <t>Receivables</t>
  </si>
  <si>
    <t>Cash &amp; Bank Balances</t>
  </si>
  <si>
    <t>Loans &amp; Advances</t>
  </si>
  <si>
    <t>Other Current Assets</t>
  </si>
  <si>
    <t>Current Tax Asset</t>
  </si>
  <si>
    <t>Investments</t>
  </si>
  <si>
    <t>Raw Materials</t>
  </si>
  <si>
    <t>Vertical Analysis</t>
  </si>
  <si>
    <t>INCOME STATEMENT</t>
  </si>
  <si>
    <t>BALANCE SHEET</t>
  </si>
  <si>
    <t>#</t>
  </si>
  <si>
    <t>Balance sheet</t>
  </si>
  <si>
    <t>Horizontal Analysis</t>
  </si>
  <si>
    <t>RATIO ANALYSIS</t>
  </si>
  <si>
    <t>Growth Ratio</t>
  </si>
  <si>
    <t>Revenue growth % (y-o-y)</t>
  </si>
  <si>
    <t>Earnings growth %</t>
  </si>
  <si>
    <t>Profitability Ratio</t>
  </si>
  <si>
    <t>GP%</t>
  </si>
  <si>
    <t>EBITDA%</t>
  </si>
  <si>
    <t>EBIT %</t>
  </si>
  <si>
    <t>NP %</t>
  </si>
  <si>
    <t>ROA</t>
  </si>
  <si>
    <t>ROE</t>
  </si>
  <si>
    <t>Efficiency Ratio</t>
  </si>
  <si>
    <t>Asset Turnover</t>
  </si>
  <si>
    <t>Inventory Turnover</t>
  </si>
  <si>
    <t>Receivable Turnover</t>
  </si>
  <si>
    <t>Payable Turnover</t>
  </si>
  <si>
    <t>Liquidity Ratio</t>
  </si>
  <si>
    <t>Quick ratio</t>
  </si>
  <si>
    <t>Current ratio</t>
  </si>
  <si>
    <t>Cash Ratio</t>
  </si>
  <si>
    <t>Leverage Ratio</t>
  </si>
  <si>
    <t>Debt ratio</t>
  </si>
  <si>
    <t>Debt-equity</t>
  </si>
  <si>
    <t>Interest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</si>
</sst>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\x"/>
  </numFmts>
  <fonts count="17" x14ac:knownFonts="1"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B050"/>
      <name val="Libre Franklin"/>
    </font>
    <font>
      <sz val="12"/>
      <color theme="1"/>
      <name val="Libre Franklin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A84C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 wrapText="1"/>
    </xf>
    <xf numFmtId="9" fontId="5" fillId="2" borderId="0" xfId="0" applyNumberFormat="1" applyFont="1" applyFill="1" applyAlignment="1">
      <alignment wrapText="1"/>
    </xf>
    <xf numFmtId="164" fontId="5" fillId="2" borderId="0" xfId="0" applyNumberFormat="1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3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0" fontId="12" fillId="2" borderId="0" xfId="0" applyNumberFormat="1" applyFont="1" applyFill="1"/>
    <xf numFmtId="0" fontId="12" fillId="2" borderId="0" xfId="0" applyFont="1" applyFill="1" applyAlignment="1">
      <alignment wrapText="1"/>
    </xf>
    <xf numFmtId="0" fontId="11" fillId="0" borderId="0" xfId="0" applyFont="1"/>
    <xf numFmtId="10" fontId="11" fillId="2" borderId="0" xfId="0" applyNumberFormat="1" applyFont="1" applyFill="1"/>
    <xf numFmtId="0" fontId="11" fillId="2" borderId="1" xfId="0" applyFont="1" applyFill="1" applyBorder="1" applyAlignment="1">
      <alignment horizontal="left" wrapText="1"/>
    </xf>
    <xf numFmtId="10" fontId="11" fillId="2" borderId="1" xfId="0" applyNumberFormat="1" applyFont="1" applyFill="1" applyBorder="1"/>
    <xf numFmtId="0" fontId="13" fillId="3" borderId="0" xfId="0" applyFont="1" applyFill="1"/>
    <xf numFmtId="0" fontId="14" fillId="3" borderId="0" xfId="0" applyFont="1" applyFill="1" applyAlignment="1">
      <alignment horizontal="right" vertical="center" wrapText="1"/>
    </xf>
    <xf numFmtId="0" fontId="12" fillId="2" borderId="0" xfId="0" applyFont="1" applyFill="1"/>
    <xf numFmtId="9" fontId="12" fillId="2" borderId="0" xfId="0" applyNumberFormat="1" applyFont="1" applyFill="1" applyAlignment="1">
      <alignment wrapText="1"/>
    </xf>
    <xf numFmtId="0" fontId="11" fillId="2" borderId="2" xfId="0" applyFont="1" applyFill="1" applyBorder="1" applyAlignment="1">
      <alignment wrapText="1"/>
    </xf>
    <xf numFmtId="9" fontId="11" fillId="2" borderId="2" xfId="0" applyNumberFormat="1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9" fontId="11" fillId="2" borderId="0" xfId="0" applyNumberFormat="1" applyFont="1" applyFill="1" applyAlignment="1">
      <alignment wrapText="1"/>
    </xf>
    <xf numFmtId="0" fontId="11" fillId="2" borderId="1" xfId="0" applyFont="1" applyFill="1" applyBorder="1" applyAlignment="1">
      <alignment wrapText="1"/>
    </xf>
    <xf numFmtId="9" fontId="11" fillId="2" borderId="1" xfId="0" applyNumberFormat="1" applyFont="1" applyFill="1" applyBorder="1" applyAlignment="1">
      <alignment wrapText="1"/>
    </xf>
    <xf numFmtId="3" fontId="15" fillId="2" borderId="0" xfId="0" applyNumberFormat="1" applyFont="1" applyFill="1" applyAlignment="1">
      <alignment horizontal="right" wrapText="1"/>
    </xf>
    <xf numFmtId="0" fontId="10" fillId="2" borderId="1" xfId="0" applyFont="1" applyFill="1" applyBorder="1" applyAlignment="1">
      <alignment wrapText="1"/>
    </xf>
    <xf numFmtId="3" fontId="10" fillId="2" borderId="1" xfId="0" applyNumberFormat="1" applyFont="1" applyFill="1" applyBorder="1" applyAlignment="1">
      <alignment horizontal="right" wrapText="1"/>
    </xf>
    <xf numFmtId="3" fontId="10" fillId="2" borderId="0" xfId="0" applyNumberFormat="1" applyFont="1" applyFill="1" applyAlignment="1">
      <alignment horizontal="right" wrapText="1"/>
    </xf>
    <xf numFmtId="0" fontId="15" fillId="2" borderId="0" xfId="0" applyFont="1" applyFill="1" applyAlignment="1">
      <alignment horizontal="right" wrapText="1"/>
    </xf>
    <xf numFmtId="3" fontId="15" fillId="2" borderId="0" xfId="0" applyNumberFormat="1" applyFont="1" applyFill="1" applyAlignment="1">
      <alignment horizontal="center" wrapText="1"/>
    </xf>
    <xf numFmtId="0" fontId="10" fillId="2" borderId="1" xfId="0" applyFont="1" applyFill="1" applyBorder="1" applyAlignment="1">
      <alignment horizontal="left" wrapText="1"/>
    </xf>
    <xf numFmtId="164" fontId="12" fillId="2" borderId="0" xfId="0" applyNumberFormat="1" applyFont="1" applyFill="1" applyAlignment="1">
      <alignment wrapText="1"/>
    </xf>
    <xf numFmtId="164" fontId="11" fillId="2" borderId="0" xfId="0" applyNumberFormat="1" applyFont="1" applyFill="1" applyAlignment="1">
      <alignment wrapText="1"/>
    </xf>
    <xf numFmtId="0" fontId="11" fillId="2" borderId="0" xfId="0" applyFont="1" applyFill="1" applyAlignment="1">
      <alignment horizontal="left" wrapText="1"/>
    </xf>
    <xf numFmtId="0" fontId="11" fillId="2" borderId="0" xfId="0" applyFont="1" applyFill="1"/>
    <xf numFmtId="0" fontId="11" fillId="4" borderId="0" xfId="0" applyFont="1" applyFill="1" applyAlignment="1">
      <alignment vertical="center"/>
    </xf>
    <xf numFmtId="0" fontId="16" fillId="2" borderId="0" xfId="0" applyFont="1" applyFill="1"/>
    <xf numFmtId="164" fontId="12" fillId="2" borderId="0" xfId="0" applyNumberFormat="1" applyFont="1" applyFill="1"/>
    <xf numFmtId="0" fontId="16" fillId="2" borderId="1" xfId="0" applyFont="1" applyFill="1" applyBorder="1"/>
    <xf numFmtId="0" fontId="12" fillId="2" borderId="1" xfId="0" applyFont="1" applyFill="1" applyBorder="1"/>
    <xf numFmtId="9" fontId="12" fillId="2" borderId="0" xfId="0" applyNumberFormat="1" applyFont="1" applyFill="1"/>
    <xf numFmtId="9" fontId="12" fillId="0" borderId="0" xfId="0" applyNumberFormat="1" applyFont="1"/>
    <xf numFmtId="165" fontId="12" fillId="2" borderId="0" xfId="0" applyNumberFormat="1" applyFont="1" applyFill="1"/>
    <xf numFmtId="2" fontId="1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8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B96B-DAB7-4BB0-8E66-076473A95BE1}">
  <dimension ref="A1:G169"/>
  <sheetViews>
    <sheetView showGridLines="0" zoomScale="85" zoomScaleNormal="85" workbookViewId="0">
      <selection activeCell="J12" sqref="J12"/>
    </sheetView>
  </sheetViews>
  <sheetFormatPr defaultRowHeight="15.6" outlineLevelRow="1" x14ac:dyDescent="0.3"/>
  <cols>
    <col min="1" max="1" width="2.33203125" style="1" customWidth="1"/>
    <col min="2" max="2" width="68" style="1" customWidth="1"/>
    <col min="3" max="3" width="12.109375" style="1" bestFit="1" customWidth="1"/>
    <col min="4" max="6" width="9.6640625" style="1" bestFit="1" customWidth="1"/>
    <col min="7" max="16384" width="8.88671875" style="1"/>
  </cols>
  <sheetData>
    <row r="1" spans="1:6" ht="20.399999999999999" x14ac:dyDescent="0.3">
      <c r="B1" s="2" t="s">
        <v>0</v>
      </c>
      <c r="C1" s="4"/>
      <c r="D1" s="4"/>
      <c r="E1" s="4"/>
      <c r="F1" s="4"/>
    </row>
    <row r="2" spans="1:6" ht="20.399999999999999" x14ac:dyDescent="0.3">
      <c r="B2" s="5" t="s">
        <v>1</v>
      </c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4"/>
      <c r="B4" s="4"/>
      <c r="C4" s="6" t="s">
        <v>2</v>
      </c>
      <c r="D4" s="6" t="s">
        <v>3</v>
      </c>
      <c r="E4" s="6" t="s">
        <v>4</v>
      </c>
      <c r="F4" s="6" t="s">
        <v>5</v>
      </c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3" t="s">
        <v>57</v>
      </c>
      <c r="B6" s="11" t="s">
        <v>55</v>
      </c>
      <c r="C6" s="12" t="s">
        <v>2</v>
      </c>
      <c r="D6" s="12" t="s">
        <v>3</v>
      </c>
      <c r="E6" s="12" t="s">
        <v>4</v>
      </c>
      <c r="F6" s="12" t="s">
        <v>5</v>
      </c>
    </row>
    <row r="7" spans="1:6" outlineLevel="1" x14ac:dyDescent="0.3">
      <c r="A7" s="3"/>
      <c r="B7" s="13" t="s">
        <v>6</v>
      </c>
      <c r="C7" s="33">
        <v>575890</v>
      </c>
      <c r="D7" s="33">
        <v>680850</v>
      </c>
      <c r="E7" s="33">
        <v>798094</v>
      </c>
      <c r="F7" s="33">
        <v>860685</v>
      </c>
    </row>
    <row r="8" spans="1:6" ht="16.2" outlineLevel="1" thickBot="1" x14ac:dyDescent="0.35">
      <c r="A8" s="3"/>
      <c r="B8" s="13" t="s">
        <v>7</v>
      </c>
      <c r="C8" s="33">
        <v>14806</v>
      </c>
      <c r="D8" s="33">
        <v>22896</v>
      </c>
      <c r="E8" s="33">
        <v>20458</v>
      </c>
      <c r="F8" s="33">
        <v>25616</v>
      </c>
    </row>
    <row r="9" spans="1:6" ht="16.2" outlineLevel="1" thickBot="1" x14ac:dyDescent="0.35">
      <c r="A9" s="3"/>
      <c r="B9" s="34" t="s">
        <v>8</v>
      </c>
      <c r="C9" s="35">
        <v>590696</v>
      </c>
      <c r="D9" s="35">
        <v>703746</v>
      </c>
      <c r="E9" s="35">
        <v>818552</v>
      </c>
      <c r="F9" s="35">
        <v>886301</v>
      </c>
    </row>
    <row r="10" spans="1:6" outlineLevel="1" x14ac:dyDescent="0.3">
      <c r="A10" s="3"/>
      <c r="B10" s="13" t="s">
        <v>9</v>
      </c>
      <c r="C10" s="33">
        <v>387060</v>
      </c>
      <c r="D10" s="33">
        <v>467422</v>
      </c>
      <c r="E10" s="33">
        <v>549861</v>
      </c>
      <c r="F10" s="33">
        <v>602639</v>
      </c>
    </row>
    <row r="11" spans="1:6" ht="18" customHeight="1" outlineLevel="1" x14ac:dyDescent="0.3">
      <c r="A11" s="3"/>
      <c r="B11" s="13" t="s">
        <v>10</v>
      </c>
      <c r="C11" s="33">
        <v>20003</v>
      </c>
      <c r="D11" s="33">
        <v>23603</v>
      </c>
      <c r="E11" s="33">
        <v>28634</v>
      </c>
      <c r="F11" s="33">
        <v>32850</v>
      </c>
    </row>
    <row r="12" spans="1:6" ht="16.2" outlineLevel="1" thickBot="1" x14ac:dyDescent="0.35">
      <c r="A12" s="3"/>
      <c r="B12" s="13" t="s">
        <v>11</v>
      </c>
      <c r="C12" s="33">
        <v>80542</v>
      </c>
      <c r="D12" s="33">
        <v>87280</v>
      </c>
      <c r="E12" s="33">
        <v>99956</v>
      </c>
      <c r="F12" s="33">
        <v>116385</v>
      </c>
    </row>
    <row r="13" spans="1:6" ht="16.2" outlineLevel="1" thickBot="1" x14ac:dyDescent="0.35">
      <c r="A13" s="3"/>
      <c r="B13" s="34" t="s">
        <v>8</v>
      </c>
      <c r="C13" s="35">
        <v>487605</v>
      </c>
      <c r="D13" s="35">
        <v>578305</v>
      </c>
      <c r="E13" s="35">
        <v>678451</v>
      </c>
      <c r="F13" s="35">
        <v>751874</v>
      </c>
    </row>
    <row r="14" spans="1:6" outlineLevel="1" x14ac:dyDescent="0.3">
      <c r="A14" s="3"/>
      <c r="B14" s="14" t="s">
        <v>12</v>
      </c>
      <c r="C14" s="36">
        <v>88285</v>
      </c>
      <c r="D14" s="36">
        <v>102545</v>
      </c>
      <c r="E14" s="36">
        <v>119643</v>
      </c>
      <c r="F14" s="36">
        <v>108811</v>
      </c>
    </row>
    <row r="15" spans="1:6" outlineLevel="1" x14ac:dyDescent="0.3">
      <c r="A15" s="3"/>
      <c r="B15" s="13" t="s">
        <v>13</v>
      </c>
      <c r="C15" s="33">
        <v>28218</v>
      </c>
      <c r="D15" s="33">
        <v>26039</v>
      </c>
      <c r="E15" s="33">
        <v>27598</v>
      </c>
      <c r="F15" s="33">
        <v>30208</v>
      </c>
    </row>
    <row r="16" spans="1:6" outlineLevel="1" x14ac:dyDescent="0.3">
      <c r="A16" s="3"/>
      <c r="B16" s="14" t="s">
        <v>14</v>
      </c>
      <c r="C16" s="36">
        <v>60067</v>
      </c>
      <c r="D16" s="36">
        <v>76506</v>
      </c>
      <c r="E16" s="36">
        <v>92045</v>
      </c>
      <c r="F16" s="36">
        <v>78603</v>
      </c>
    </row>
    <row r="17" spans="1:6" outlineLevel="1" x14ac:dyDescent="0.3">
      <c r="A17" s="3"/>
      <c r="B17" s="13" t="s">
        <v>15</v>
      </c>
      <c r="C17" s="37">
        <v>817</v>
      </c>
      <c r="D17" s="37">
        <v>894</v>
      </c>
      <c r="E17" s="33">
        <v>3458</v>
      </c>
      <c r="F17" s="37">
        <v>759</v>
      </c>
    </row>
    <row r="18" spans="1:6" outlineLevel="1" x14ac:dyDescent="0.3">
      <c r="A18" s="3"/>
      <c r="B18" s="14" t="s">
        <v>16</v>
      </c>
      <c r="C18" s="36">
        <v>74056</v>
      </c>
      <c r="D18" s="36">
        <v>98508</v>
      </c>
      <c r="E18" s="36">
        <v>109045</v>
      </c>
      <c r="F18" s="36">
        <v>103460</v>
      </c>
    </row>
    <row r="19" spans="1:6" ht="16.2" outlineLevel="1" thickBot="1" x14ac:dyDescent="0.35">
      <c r="A19" s="3"/>
      <c r="B19" s="13" t="s">
        <v>17</v>
      </c>
      <c r="C19" s="33">
        <v>20875</v>
      </c>
      <c r="D19" s="33">
        <v>26162</v>
      </c>
      <c r="E19" s="33">
        <v>32862</v>
      </c>
      <c r="F19" s="33">
        <v>29732</v>
      </c>
    </row>
    <row r="20" spans="1:6" ht="16.2" outlineLevel="1" thickBot="1" x14ac:dyDescent="0.35">
      <c r="A20" s="3"/>
      <c r="B20" s="34" t="s">
        <v>18</v>
      </c>
      <c r="C20" s="35">
        <v>53181</v>
      </c>
      <c r="D20" s="35">
        <v>72346</v>
      </c>
      <c r="E20" s="35">
        <v>76183</v>
      </c>
      <c r="F20" s="35">
        <v>73728</v>
      </c>
    </row>
    <row r="21" spans="1:6" x14ac:dyDescent="0.3">
      <c r="A21" s="3"/>
      <c r="B21" s="13"/>
      <c r="C21" s="13"/>
      <c r="D21" s="13"/>
      <c r="E21" s="13"/>
      <c r="F21" s="13"/>
    </row>
    <row r="22" spans="1:6" x14ac:dyDescent="0.3">
      <c r="A22" s="3" t="s">
        <v>57</v>
      </c>
      <c r="B22" s="11" t="s">
        <v>56</v>
      </c>
      <c r="C22" s="12" t="s">
        <v>2</v>
      </c>
      <c r="D22" s="12" t="s">
        <v>3</v>
      </c>
      <c r="E22" s="12" t="s">
        <v>4</v>
      </c>
      <c r="F22" s="12" t="s">
        <v>5</v>
      </c>
    </row>
    <row r="23" spans="1:6" outlineLevel="1" x14ac:dyDescent="0.3">
      <c r="B23" s="15" t="s">
        <v>19</v>
      </c>
      <c r="C23" s="13"/>
      <c r="D23" s="13"/>
      <c r="E23" s="13"/>
      <c r="F23" s="13"/>
    </row>
    <row r="24" spans="1:6" outlineLevel="1" x14ac:dyDescent="0.3">
      <c r="A24" s="3"/>
      <c r="B24" s="14" t="s">
        <v>20</v>
      </c>
      <c r="C24" s="36">
        <v>306304</v>
      </c>
      <c r="D24" s="36">
        <v>370905</v>
      </c>
      <c r="E24" s="36">
        <v>425755</v>
      </c>
      <c r="F24" s="36">
        <v>471097</v>
      </c>
    </row>
    <row r="25" spans="1:6" outlineLevel="1" x14ac:dyDescent="0.3">
      <c r="A25" s="3"/>
      <c r="B25" s="13" t="s">
        <v>21</v>
      </c>
      <c r="C25" s="33">
        <v>1510</v>
      </c>
      <c r="D25" s="33">
        <v>1510</v>
      </c>
      <c r="E25" s="33">
        <v>1510</v>
      </c>
      <c r="F25" s="33">
        <v>1510</v>
      </c>
    </row>
    <row r="26" spans="1:6" outlineLevel="1" x14ac:dyDescent="0.3">
      <c r="A26" s="3"/>
      <c r="B26" s="13" t="s">
        <v>22</v>
      </c>
      <c r="C26" s="33">
        <v>304650</v>
      </c>
      <c r="D26" s="33">
        <v>369241</v>
      </c>
      <c r="E26" s="33">
        <v>424084</v>
      </c>
      <c r="F26" s="33">
        <v>469411</v>
      </c>
    </row>
    <row r="27" spans="1:6" outlineLevel="1" x14ac:dyDescent="0.3">
      <c r="A27" s="3"/>
      <c r="B27" s="13" t="s">
        <v>23</v>
      </c>
      <c r="C27" s="37">
        <v>144</v>
      </c>
      <c r="D27" s="37">
        <v>154</v>
      </c>
      <c r="E27" s="37">
        <v>161</v>
      </c>
      <c r="F27" s="37">
        <v>176</v>
      </c>
    </row>
    <row r="28" spans="1:6" outlineLevel="1" x14ac:dyDescent="0.3">
      <c r="B28" s="15" t="s">
        <v>24</v>
      </c>
      <c r="C28" s="13"/>
      <c r="D28" s="13"/>
      <c r="E28" s="13"/>
      <c r="F28" s="13"/>
    </row>
    <row r="29" spans="1:6" outlineLevel="1" x14ac:dyDescent="0.3">
      <c r="A29" s="3"/>
      <c r="B29" s="13" t="s">
        <v>25</v>
      </c>
      <c r="C29" s="37">
        <v>0</v>
      </c>
      <c r="D29" s="37">
        <v>0</v>
      </c>
      <c r="E29" s="37">
        <v>100</v>
      </c>
      <c r="F29" s="37">
        <v>80</v>
      </c>
    </row>
    <row r="30" spans="1:6" outlineLevel="1" x14ac:dyDescent="0.3">
      <c r="A30" s="3"/>
      <c r="B30" s="13" t="s">
        <v>26</v>
      </c>
      <c r="C30" s="33">
        <v>8075</v>
      </c>
      <c r="D30" s="33">
        <v>11055</v>
      </c>
      <c r="E30" s="33">
        <v>15859</v>
      </c>
      <c r="F30" s="33">
        <v>20371</v>
      </c>
    </row>
    <row r="31" spans="1:6" outlineLevel="1" x14ac:dyDescent="0.3">
      <c r="A31" s="3"/>
      <c r="B31" s="13" t="s">
        <v>27</v>
      </c>
      <c r="C31" s="37">
        <v>148</v>
      </c>
      <c r="D31" s="37">
        <v>219</v>
      </c>
      <c r="E31" s="37">
        <v>265</v>
      </c>
      <c r="F31" s="37">
        <v>395</v>
      </c>
    </row>
    <row r="32" spans="1:6" outlineLevel="1" x14ac:dyDescent="0.3">
      <c r="A32" s="3"/>
      <c r="B32" s="13" t="s">
        <v>28</v>
      </c>
      <c r="C32" s="33">
        <v>2287</v>
      </c>
      <c r="D32" s="33">
        <v>5058</v>
      </c>
      <c r="E32" s="33">
        <v>6020</v>
      </c>
      <c r="F32" s="33">
        <v>6139</v>
      </c>
    </row>
    <row r="33" spans="1:6" outlineLevel="1" x14ac:dyDescent="0.3">
      <c r="B33" s="14" t="s">
        <v>29</v>
      </c>
      <c r="C33" s="13"/>
      <c r="D33" s="13"/>
      <c r="E33" s="13"/>
      <c r="F33" s="13"/>
    </row>
    <row r="34" spans="1:6" outlineLevel="1" x14ac:dyDescent="0.3">
      <c r="A34" s="3"/>
      <c r="B34" s="13" t="s">
        <v>30</v>
      </c>
      <c r="C34" s="33">
        <v>7956</v>
      </c>
      <c r="D34" s="33">
        <v>8036</v>
      </c>
      <c r="E34" s="33">
        <v>8541</v>
      </c>
      <c r="F34" s="33">
        <v>6729</v>
      </c>
    </row>
    <row r="35" spans="1:6" ht="18" customHeight="1" outlineLevel="1" x14ac:dyDescent="0.3">
      <c r="A35" s="3"/>
      <c r="B35" s="13" t="s">
        <v>31</v>
      </c>
      <c r="C35" s="37">
        <v>774</v>
      </c>
      <c r="D35" s="33">
        <v>4836</v>
      </c>
      <c r="E35" s="33">
        <v>1108</v>
      </c>
      <c r="F35" s="33">
        <v>1496</v>
      </c>
    </row>
    <row r="36" spans="1:6" outlineLevel="1" x14ac:dyDescent="0.3">
      <c r="A36" s="3"/>
      <c r="B36" s="13" t="s">
        <v>32</v>
      </c>
      <c r="C36" s="33">
        <v>74089</v>
      </c>
      <c r="D36" s="33">
        <v>83692</v>
      </c>
      <c r="E36" s="33">
        <v>104993</v>
      </c>
      <c r="F36" s="33">
        <v>96377</v>
      </c>
    </row>
    <row r="37" spans="1:6" outlineLevel="1" x14ac:dyDescent="0.3">
      <c r="A37" s="3"/>
      <c r="B37" s="13" t="s">
        <v>33</v>
      </c>
      <c r="C37" s="33">
        <v>11650</v>
      </c>
      <c r="D37" s="33">
        <v>18278</v>
      </c>
      <c r="E37" s="33">
        <v>20896</v>
      </c>
      <c r="F37" s="33">
        <v>16329</v>
      </c>
    </row>
    <row r="38" spans="1:6" outlineLevel="1" x14ac:dyDescent="0.3">
      <c r="A38" s="3"/>
      <c r="B38" s="13" t="s">
        <v>34</v>
      </c>
      <c r="C38" s="33">
        <v>3994</v>
      </c>
      <c r="D38" s="33">
        <v>4498</v>
      </c>
      <c r="E38" s="33">
        <v>5609</v>
      </c>
      <c r="F38" s="33">
        <v>6254</v>
      </c>
    </row>
    <row r="39" spans="1:6" ht="16.2" outlineLevel="1" thickBot="1" x14ac:dyDescent="0.35">
      <c r="A39" s="3"/>
      <c r="B39" s="13" t="s">
        <v>35</v>
      </c>
      <c r="C39" s="33">
        <v>11978</v>
      </c>
      <c r="D39" s="37">
        <v>13028</v>
      </c>
      <c r="E39" s="33">
        <v>13338</v>
      </c>
      <c r="F39" s="33">
        <v>14420</v>
      </c>
    </row>
    <row r="40" spans="1:6" ht="16.2" outlineLevel="1" thickBot="1" x14ac:dyDescent="0.35">
      <c r="A40" s="3"/>
      <c r="B40" s="34" t="s">
        <v>8</v>
      </c>
      <c r="C40" s="35">
        <v>427255</v>
      </c>
      <c r="D40" s="35">
        <v>519605</v>
      </c>
      <c r="E40" s="35">
        <v>602484</v>
      </c>
      <c r="F40" s="35">
        <v>639687</v>
      </c>
    </row>
    <row r="41" spans="1:6" outlineLevel="1" x14ac:dyDescent="0.3">
      <c r="B41" s="15" t="s">
        <v>36</v>
      </c>
      <c r="C41" s="13"/>
      <c r="D41" s="13"/>
      <c r="E41" s="13"/>
      <c r="F41" s="13"/>
    </row>
    <row r="42" spans="1:6" outlineLevel="1" x14ac:dyDescent="0.3">
      <c r="B42" s="15" t="s">
        <v>37</v>
      </c>
      <c r="C42" s="13"/>
      <c r="D42" s="13"/>
      <c r="E42" s="13"/>
      <c r="F42" s="13"/>
    </row>
    <row r="43" spans="1:6" outlineLevel="1" x14ac:dyDescent="0.3">
      <c r="A43" s="3"/>
      <c r="B43" s="13" t="s">
        <v>38</v>
      </c>
      <c r="C43" s="33">
        <v>121827</v>
      </c>
      <c r="D43" s="33">
        <v>129377</v>
      </c>
      <c r="E43" s="38">
        <v>130771</v>
      </c>
      <c r="F43" s="38">
        <v>149862</v>
      </c>
    </row>
    <row r="44" spans="1:6" outlineLevel="1" x14ac:dyDescent="0.3">
      <c r="A44" s="3"/>
      <c r="B44" s="13" t="s">
        <v>39</v>
      </c>
      <c r="C44" s="33">
        <v>3469</v>
      </c>
      <c r="D44" s="33">
        <v>3730</v>
      </c>
      <c r="E44" s="38">
        <v>3117</v>
      </c>
      <c r="F44" s="38">
        <v>4511</v>
      </c>
    </row>
    <row r="45" spans="1:6" outlineLevel="1" x14ac:dyDescent="0.3">
      <c r="A45" s="3"/>
      <c r="B45" s="13" t="s">
        <v>40</v>
      </c>
      <c r="C45" s="33">
        <v>10069</v>
      </c>
      <c r="D45" s="33">
        <v>12523</v>
      </c>
      <c r="E45" s="33">
        <v>21321</v>
      </c>
      <c r="F45" s="33">
        <v>16069</v>
      </c>
    </row>
    <row r="46" spans="1:6" outlineLevel="1" x14ac:dyDescent="0.3">
      <c r="A46" s="3"/>
      <c r="B46" s="13" t="s">
        <v>41</v>
      </c>
      <c r="C46" s="33">
        <v>195345</v>
      </c>
      <c r="D46" s="33">
        <v>269718</v>
      </c>
      <c r="E46" s="33">
        <v>349058</v>
      </c>
      <c r="F46" s="33">
        <v>324581</v>
      </c>
    </row>
    <row r="47" spans="1:6" outlineLevel="1" x14ac:dyDescent="0.3">
      <c r="A47" s="3"/>
      <c r="B47" s="13" t="s">
        <v>42</v>
      </c>
      <c r="C47" s="37">
        <v>234</v>
      </c>
      <c r="D47" s="37">
        <v>241</v>
      </c>
      <c r="E47" s="37">
        <v>328</v>
      </c>
      <c r="F47" s="37">
        <v>344</v>
      </c>
    </row>
    <row r="48" spans="1:6" outlineLevel="1" x14ac:dyDescent="0.3">
      <c r="A48" s="3"/>
      <c r="B48" s="13" t="s">
        <v>43</v>
      </c>
      <c r="C48" s="37">
        <v>4</v>
      </c>
      <c r="D48" s="37">
        <v>3</v>
      </c>
      <c r="E48" s="37">
        <v>2</v>
      </c>
      <c r="F48" s="37">
        <v>2</v>
      </c>
    </row>
    <row r="49" spans="1:6" outlineLevel="1" x14ac:dyDescent="0.3">
      <c r="A49" s="3"/>
      <c r="B49" s="13" t="s">
        <v>44</v>
      </c>
      <c r="C49" s="33">
        <v>16796</v>
      </c>
      <c r="D49" s="33">
        <v>16033</v>
      </c>
      <c r="E49" s="33">
        <v>18587</v>
      </c>
      <c r="F49" s="33">
        <v>20591</v>
      </c>
    </row>
    <row r="50" spans="1:6" outlineLevel="1" x14ac:dyDescent="0.3">
      <c r="B50" s="15" t="s">
        <v>45</v>
      </c>
      <c r="C50" s="13"/>
      <c r="D50" s="13"/>
      <c r="E50" s="13"/>
      <c r="F50" s="13"/>
    </row>
    <row r="51" spans="1:6" outlineLevel="1" x14ac:dyDescent="0.3">
      <c r="A51" s="3"/>
      <c r="B51" s="13" t="s">
        <v>46</v>
      </c>
      <c r="C51" s="33">
        <v>31326</v>
      </c>
      <c r="D51" s="33">
        <v>32637</v>
      </c>
      <c r="E51" s="33">
        <v>31602</v>
      </c>
      <c r="F51" s="33">
        <v>33226</v>
      </c>
    </row>
    <row r="52" spans="1:6" outlineLevel="1" x14ac:dyDescent="0.3">
      <c r="A52" s="3"/>
      <c r="B52" s="13" t="s">
        <v>47</v>
      </c>
      <c r="C52" s="33">
        <v>13234</v>
      </c>
      <c r="D52" s="33">
        <v>12026</v>
      </c>
      <c r="E52" s="33">
        <v>14654</v>
      </c>
      <c r="F52" s="33">
        <v>23128</v>
      </c>
    </row>
    <row r="53" spans="1:6" outlineLevel="1" x14ac:dyDescent="0.3">
      <c r="A53" s="3"/>
      <c r="B53" s="13" t="s">
        <v>48</v>
      </c>
      <c r="C53" s="37">
        <v>507</v>
      </c>
      <c r="D53" s="37">
        <v>235</v>
      </c>
      <c r="E53" s="37">
        <v>740</v>
      </c>
      <c r="F53" s="33">
        <v>1878</v>
      </c>
    </row>
    <row r="54" spans="1:6" outlineLevel="1" x14ac:dyDescent="0.3">
      <c r="A54" s="3"/>
      <c r="B54" s="13" t="s">
        <v>49</v>
      </c>
      <c r="C54" s="37">
        <v>31</v>
      </c>
      <c r="D54" s="37">
        <v>25</v>
      </c>
      <c r="E54" s="37">
        <v>30</v>
      </c>
      <c r="F54" s="37">
        <v>161</v>
      </c>
    </row>
    <row r="55" spans="1:6" outlineLevel="1" x14ac:dyDescent="0.3">
      <c r="A55" s="3"/>
      <c r="B55" s="13" t="s">
        <v>50</v>
      </c>
      <c r="C55" s="33">
        <v>16611</v>
      </c>
      <c r="D55" s="33">
        <v>15408</v>
      </c>
      <c r="E55" s="33">
        <v>13140</v>
      </c>
      <c r="F55" s="33">
        <v>5638</v>
      </c>
    </row>
    <row r="56" spans="1:6" outlineLevel="1" x14ac:dyDescent="0.3">
      <c r="A56" s="3"/>
      <c r="B56" s="13" t="s">
        <v>51</v>
      </c>
      <c r="C56" s="33">
        <v>4906</v>
      </c>
      <c r="D56" s="33">
        <v>4910</v>
      </c>
      <c r="E56" s="33">
        <v>4115</v>
      </c>
      <c r="F56" s="33">
        <v>4277</v>
      </c>
    </row>
    <row r="57" spans="1:6" outlineLevel="1" x14ac:dyDescent="0.3">
      <c r="A57" s="3"/>
      <c r="B57" s="13" t="s">
        <v>52</v>
      </c>
      <c r="C57" s="33">
        <v>11413</v>
      </c>
      <c r="D57" s="33">
        <v>21788</v>
      </c>
      <c r="E57" s="33">
        <v>12173</v>
      </c>
      <c r="F57" s="33">
        <v>50455</v>
      </c>
    </row>
    <row r="58" spans="1:6" ht="16.2" outlineLevel="1" thickBot="1" x14ac:dyDescent="0.35">
      <c r="A58" s="3"/>
      <c r="B58" s="13" t="s">
        <v>42</v>
      </c>
      <c r="C58" s="33">
        <v>1483</v>
      </c>
      <c r="D58" s="37">
        <v>951</v>
      </c>
      <c r="E58" s="33">
        <v>2846</v>
      </c>
      <c r="F58" s="33">
        <v>4964</v>
      </c>
    </row>
    <row r="59" spans="1:6" ht="16.2" outlineLevel="1" thickBot="1" x14ac:dyDescent="0.35">
      <c r="A59" s="3"/>
      <c r="B59" s="39" t="s">
        <v>8</v>
      </c>
      <c r="C59" s="35">
        <v>427255</v>
      </c>
      <c r="D59" s="35">
        <v>519605</v>
      </c>
      <c r="E59" s="35">
        <v>602484</v>
      </c>
      <c r="F59" s="35">
        <v>639687</v>
      </c>
    </row>
    <row r="60" spans="1:6" x14ac:dyDescent="0.3">
      <c r="A60" s="3"/>
      <c r="B60" s="3"/>
      <c r="C60" s="3"/>
      <c r="D60" s="3"/>
      <c r="E60" s="3"/>
      <c r="F60" s="3"/>
    </row>
    <row r="63" spans="1:6" hidden="1" x14ac:dyDescent="0.3"/>
    <row r="64" spans="1:6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collapsed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spans="7:7" hidden="1" x14ac:dyDescent="0.3"/>
    <row r="114" spans="7:7" hidden="1" x14ac:dyDescent="0.3"/>
    <row r="115" spans="7:7" collapsed="1" x14ac:dyDescent="0.3"/>
    <row r="117" spans="7:7" hidden="1" x14ac:dyDescent="0.3">
      <c r="G117" s="7"/>
    </row>
    <row r="118" spans="7:7" hidden="1" x14ac:dyDescent="0.3">
      <c r="G118" s="7"/>
    </row>
    <row r="119" spans="7:7" hidden="1" x14ac:dyDescent="0.3">
      <c r="G119" s="7"/>
    </row>
    <row r="120" spans="7:7" hidden="1" x14ac:dyDescent="0.3">
      <c r="G120" s="7"/>
    </row>
    <row r="121" spans="7:7" hidden="1" x14ac:dyDescent="0.3">
      <c r="G121" s="7"/>
    </row>
    <row r="122" spans="7:7" hidden="1" x14ac:dyDescent="0.3">
      <c r="G122" s="7"/>
    </row>
    <row r="123" spans="7:7" hidden="1" x14ac:dyDescent="0.3">
      <c r="G123" s="7"/>
    </row>
    <row r="124" spans="7:7" hidden="1" x14ac:dyDescent="0.3">
      <c r="G124" s="7"/>
    </row>
    <row r="125" spans="7:7" hidden="1" x14ac:dyDescent="0.3">
      <c r="G125" s="7"/>
    </row>
    <row r="126" spans="7:7" hidden="1" x14ac:dyDescent="0.3">
      <c r="G126" s="7"/>
    </row>
    <row r="127" spans="7:7" hidden="1" x14ac:dyDescent="0.3">
      <c r="G127" s="7"/>
    </row>
    <row r="128" spans="7:7" hidden="1" x14ac:dyDescent="0.3">
      <c r="G128" s="7"/>
    </row>
    <row r="129" spans="7:7" hidden="1" x14ac:dyDescent="0.3">
      <c r="G129" s="7"/>
    </row>
    <row r="130" spans="7:7" hidden="1" x14ac:dyDescent="0.3">
      <c r="G130" s="7"/>
    </row>
    <row r="131" spans="7:7" collapsed="1" x14ac:dyDescent="0.3"/>
    <row r="133" spans="7:7" hidden="1" x14ac:dyDescent="0.3"/>
    <row r="134" spans="7:7" hidden="1" x14ac:dyDescent="0.3"/>
    <row r="135" spans="7:7" hidden="1" x14ac:dyDescent="0.3"/>
    <row r="136" spans="7:7" hidden="1" x14ac:dyDescent="0.3"/>
    <row r="137" spans="7:7" hidden="1" x14ac:dyDescent="0.3"/>
    <row r="138" spans="7:7" hidden="1" x14ac:dyDescent="0.3"/>
    <row r="139" spans="7:7" hidden="1" x14ac:dyDescent="0.3"/>
    <row r="140" spans="7:7" hidden="1" x14ac:dyDescent="0.3"/>
    <row r="141" spans="7:7" hidden="1" x14ac:dyDescent="0.3"/>
    <row r="142" spans="7:7" hidden="1" x14ac:dyDescent="0.3"/>
    <row r="143" spans="7:7" hidden="1" x14ac:dyDescent="0.3"/>
    <row r="144" spans="7:7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spans="4:6" hidden="1" x14ac:dyDescent="0.3"/>
    <row r="162" spans="4:6" hidden="1" x14ac:dyDescent="0.3"/>
    <row r="163" spans="4:6" hidden="1" x14ac:dyDescent="0.3"/>
    <row r="164" spans="4:6" hidden="1" x14ac:dyDescent="0.3"/>
    <row r="165" spans="4:6" hidden="1" x14ac:dyDescent="0.3"/>
    <row r="166" spans="4:6" hidden="1" x14ac:dyDescent="0.3"/>
    <row r="167" spans="4:6" hidden="1" x14ac:dyDescent="0.3"/>
    <row r="168" spans="4:6" hidden="1" x14ac:dyDescent="0.3"/>
    <row r="169" spans="4:6" collapsed="1" x14ac:dyDescent="0.3">
      <c r="D169" s="8"/>
      <c r="E169" s="8"/>
      <c r="F16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531C-728D-4306-ACD1-B8247BB95F8A}">
  <dimension ref="B2:F56"/>
  <sheetViews>
    <sheetView showGridLines="0" workbookViewId="0">
      <selection activeCell="B14" sqref="B14"/>
    </sheetView>
  </sheetViews>
  <sheetFormatPr defaultRowHeight="13.95" customHeight="1" x14ac:dyDescent="0.25"/>
  <cols>
    <col min="1" max="1" width="2.33203125" style="9" customWidth="1"/>
    <col min="2" max="2" width="64.5546875" style="9" customWidth="1"/>
    <col min="3" max="16384" width="8.88671875" style="9"/>
  </cols>
  <sheetData>
    <row r="2" spans="2:6" ht="13.95" customHeight="1" x14ac:dyDescent="0.3">
      <c r="B2" s="23" t="s">
        <v>54</v>
      </c>
      <c r="C2" s="24" t="s">
        <v>2</v>
      </c>
      <c r="D2" s="24" t="s">
        <v>3</v>
      </c>
      <c r="E2" s="24" t="s">
        <v>4</v>
      </c>
      <c r="F2" s="24" t="s">
        <v>5</v>
      </c>
    </row>
    <row r="3" spans="2:6" ht="13.95" customHeight="1" x14ac:dyDescent="0.3">
      <c r="B3" s="18"/>
      <c r="C3" s="25"/>
      <c r="D3" s="25"/>
      <c r="E3" s="25"/>
      <c r="F3" s="25"/>
    </row>
    <row r="4" spans="2:6" ht="13.95" customHeight="1" x14ac:dyDescent="0.3">
      <c r="B4" s="18" t="s">
        <v>6</v>
      </c>
      <c r="C4" s="26">
        <f>'Finacial Anaylsis'!C7/'Finacial Anaylsis'!C$7</f>
        <v>1</v>
      </c>
      <c r="D4" s="26">
        <f>'Finacial Anaylsis'!D7/'Finacial Anaylsis'!D$7</f>
        <v>1</v>
      </c>
      <c r="E4" s="26">
        <f>'Finacial Anaylsis'!E7/'Finacial Anaylsis'!E$7</f>
        <v>1</v>
      </c>
      <c r="F4" s="26">
        <f>'Finacial Anaylsis'!F7/'Finacial Anaylsis'!F$7</f>
        <v>1</v>
      </c>
    </row>
    <row r="5" spans="2:6" ht="13.95" customHeight="1" x14ac:dyDescent="0.3">
      <c r="B5" s="18" t="s">
        <v>7</v>
      </c>
      <c r="C5" s="26">
        <f>'Finacial Anaylsis'!C8/'Finacial Anaylsis'!C$7</f>
        <v>2.570977096320478E-2</v>
      </c>
      <c r="D5" s="26">
        <f>'Finacial Anaylsis'!D8/'Finacial Anaylsis'!D$7</f>
        <v>3.3628552544613353E-2</v>
      </c>
      <c r="E5" s="26">
        <f>'Finacial Anaylsis'!E8/'Finacial Anaylsis'!E$7</f>
        <v>2.5633571985254868E-2</v>
      </c>
      <c r="F5" s="26">
        <f>'Finacial Anaylsis'!F8/'Finacial Anaylsis'!F$7</f>
        <v>2.9762340461376696E-2</v>
      </c>
    </row>
    <row r="6" spans="2:6" ht="13.95" customHeight="1" x14ac:dyDescent="0.3">
      <c r="B6" s="27" t="s">
        <v>8</v>
      </c>
      <c r="C6" s="28">
        <f>'Finacial Anaylsis'!C9/'Finacial Anaylsis'!C$7</f>
        <v>1.0257097709632048</v>
      </c>
      <c r="D6" s="28">
        <f>'Finacial Anaylsis'!D9/'Finacial Anaylsis'!D$7</f>
        <v>1.0336285525446134</v>
      </c>
      <c r="E6" s="28">
        <f>'Finacial Anaylsis'!E9/'Finacial Anaylsis'!E$7</f>
        <v>1.025633571985255</v>
      </c>
      <c r="F6" s="28">
        <f>'Finacial Anaylsis'!F9/'Finacial Anaylsis'!F$7</f>
        <v>1.0297623404613767</v>
      </c>
    </row>
    <row r="7" spans="2:6" ht="13.95" customHeight="1" x14ac:dyDescent="0.3">
      <c r="B7" s="18" t="s">
        <v>53</v>
      </c>
      <c r="C7" s="26">
        <f>'Finacial Anaylsis'!C10/'Finacial Anaylsis'!C$7</f>
        <v>0.67210752053343525</v>
      </c>
      <c r="D7" s="26">
        <f>'Finacial Anaylsis'!D10/'Finacial Anaylsis'!D$7</f>
        <v>0.68652713519864872</v>
      </c>
      <c r="E7" s="26">
        <f>'Finacial Anaylsis'!E10/'Finacial Anaylsis'!E$7</f>
        <v>0.68896771558237502</v>
      </c>
      <c r="F7" s="26">
        <f>'Finacial Anaylsis'!F10/'Finacial Anaylsis'!F$7</f>
        <v>0.70018531750872848</v>
      </c>
    </row>
    <row r="8" spans="2:6" ht="13.95" customHeight="1" x14ac:dyDescent="0.3">
      <c r="B8" s="18" t="s">
        <v>10</v>
      </c>
      <c r="C8" s="26">
        <f>'Finacial Anaylsis'!C11/'Finacial Anaylsis'!C$7</f>
        <v>3.4734063796905662E-2</v>
      </c>
      <c r="D8" s="26">
        <f>'Finacial Anaylsis'!D11/'Finacial Anaylsis'!D$7</f>
        <v>3.466696041712565E-2</v>
      </c>
      <c r="E8" s="26">
        <f>'Finacial Anaylsis'!E11/'Finacial Anaylsis'!E$7</f>
        <v>3.5877979285648058E-2</v>
      </c>
      <c r="F8" s="26">
        <f>'Finacial Anaylsis'!F11/'Finacial Anaylsis'!F$7</f>
        <v>3.8167273741264225E-2</v>
      </c>
    </row>
    <row r="9" spans="2:6" ht="13.95" customHeight="1" x14ac:dyDescent="0.3">
      <c r="B9" s="18" t="s">
        <v>11</v>
      </c>
      <c r="C9" s="26">
        <f>'Finacial Anaylsis'!C12/'Finacial Anaylsis'!C$7</f>
        <v>0.13985656983104414</v>
      </c>
      <c r="D9" s="26">
        <f>'Finacial Anaylsis'!D12/'Finacial Anaylsis'!D$7</f>
        <v>0.12819270030109423</v>
      </c>
      <c r="E9" s="26">
        <f>'Finacial Anaylsis'!E12/'Finacial Anaylsis'!E$7</f>
        <v>0.12524339238235094</v>
      </c>
      <c r="F9" s="26">
        <f>'Finacial Anaylsis'!F12/'Finacial Anaylsis'!F$7</f>
        <v>0.13522368810889002</v>
      </c>
    </row>
    <row r="10" spans="2:6" ht="13.95" customHeight="1" x14ac:dyDescent="0.3">
      <c r="B10" s="27" t="s">
        <v>8</v>
      </c>
      <c r="C10" s="28">
        <f>'Finacial Anaylsis'!C13/'Finacial Anaylsis'!C$7</f>
        <v>0.84669815416138494</v>
      </c>
      <c r="D10" s="28">
        <f>'Finacial Anaylsis'!D13/'Finacial Anaylsis'!D$7</f>
        <v>0.84938679591686861</v>
      </c>
      <c r="E10" s="28">
        <f>'Finacial Anaylsis'!E13/'Finacial Anaylsis'!E$7</f>
        <v>0.85008908725037402</v>
      </c>
      <c r="F10" s="28">
        <f>'Finacial Anaylsis'!F13/'Finacial Anaylsis'!F$7</f>
        <v>0.87357627935888271</v>
      </c>
    </row>
    <row r="11" spans="2:6" ht="13.95" customHeight="1" x14ac:dyDescent="0.3">
      <c r="B11" s="29" t="s">
        <v>12</v>
      </c>
      <c r="C11" s="30">
        <f>'Finacial Anaylsis'!C14/'Finacial Anaylsis'!C$7</f>
        <v>0.153301845838615</v>
      </c>
      <c r="D11" s="30">
        <f>'Finacial Anaylsis'!D14/'Finacial Anaylsis'!D$7</f>
        <v>0.15061320408313139</v>
      </c>
      <c r="E11" s="30">
        <f>'Finacial Anaylsis'!E14/'Finacial Anaylsis'!E$7</f>
        <v>0.14991091274962598</v>
      </c>
      <c r="F11" s="30">
        <f>'Finacial Anaylsis'!F14/'Finacial Anaylsis'!F$7</f>
        <v>0.12642372064111726</v>
      </c>
    </row>
    <row r="12" spans="2:6" ht="13.95" customHeight="1" x14ac:dyDescent="0.3">
      <c r="B12" s="18" t="s">
        <v>13</v>
      </c>
      <c r="C12" s="26">
        <f>'Finacial Anaylsis'!C15/'Finacial Anaylsis'!C$7</f>
        <v>4.8998940769938701E-2</v>
      </c>
      <c r="D12" s="26">
        <f>'Finacial Anaylsis'!D15/'Finacial Anaylsis'!D$7</f>
        <v>3.8244841007564076E-2</v>
      </c>
      <c r="E12" s="26">
        <f>'Finacial Anaylsis'!E15/'Finacial Anaylsis'!E$7</f>
        <v>3.4579886579776314E-2</v>
      </c>
      <c r="F12" s="26">
        <f>'Finacial Anaylsis'!F15/'Finacial Anaylsis'!F$7</f>
        <v>3.5097625728344281E-2</v>
      </c>
    </row>
    <row r="13" spans="2:6" ht="13.95" customHeight="1" x14ac:dyDescent="0.3">
      <c r="B13" s="29" t="s">
        <v>14</v>
      </c>
      <c r="C13" s="30">
        <f>'Finacial Anaylsis'!C16/'Finacial Anaylsis'!C$7</f>
        <v>0.10430290506867632</v>
      </c>
      <c r="D13" s="30">
        <f>'Finacial Anaylsis'!D16/'Finacial Anaylsis'!D$7</f>
        <v>0.1123683630755673</v>
      </c>
      <c r="E13" s="30">
        <f>'Finacial Anaylsis'!E16/'Finacial Anaylsis'!E$7</f>
        <v>0.11533102616984967</v>
      </c>
      <c r="F13" s="30">
        <f>'Finacial Anaylsis'!F16/'Finacial Anaylsis'!F$7</f>
        <v>9.1326094912772965E-2</v>
      </c>
    </row>
    <row r="14" spans="2:6" ht="13.95" customHeight="1" x14ac:dyDescent="0.3">
      <c r="B14" s="18" t="s">
        <v>15</v>
      </c>
      <c r="C14" s="26">
        <f>'Finacial Anaylsis'!C17/'Finacial Anaylsis'!C$7</f>
        <v>1.418673705047839E-3</v>
      </c>
      <c r="D14" s="26">
        <f>'Finacial Anaylsis'!D17/'Finacial Anaylsis'!D$7</f>
        <v>1.313064551663362E-3</v>
      </c>
      <c r="E14" s="26">
        <f>'Finacial Anaylsis'!E17/'Finacial Anaylsis'!E$7</f>
        <v>4.3328229506799949E-3</v>
      </c>
      <c r="F14" s="26">
        <f>'Finacial Anaylsis'!F17/'Finacial Anaylsis'!F$7</f>
        <v>8.8185573119085381E-4</v>
      </c>
    </row>
    <row r="15" spans="2:6" ht="13.95" customHeight="1" x14ac:dyDescent="0.3">
      <c r="B15" s="29" t="s">
        <v>16</v>
      </c>
      <c r="C15" s="30">
        <f>'Finacial Anaylsis'!C18/'Finacial Anaylsis'!C$7</f>
        <v>0.12859400232683324</v>
      </c>
      <c r="D15" s="30">
        <f>'Finacial Anaylsis'!D18/'Finacial Anaylsis'!D$7</f>
        <v>0.14468385106851731</v>
      </c>
      <c r="E15" s="30">
        <f>'Finacial Anaylsis'!E18/'Finacial Anaylsis'!E$7</f>
        <v>0.13663177520442454</v>
      </c>
      <c r="F15" s="30">
        <f>'Finacial Anaylsis'!F18/'Finacial Anaylsis'!F$7</f>
        <v>0.12020657964295881</v>
      </c>
    </row>
    <row r="16" spans="2:6" ht="13.95" customHeight="1" thickBot="1" x14ac:dyDescent="0.35">
      <c r="B16" s="18" t="s">
        <v>17</v>
      </c>
      <c r="C16" s="26">
        <f>'Finacial Anaylsis'!C19/'Finacial Anaylsis'!C$7</f>
        <v>3.6248241851742517E-2</v>
      </c>
      <c r="D16" s="26">
        <f>'Finacial Anaylsis'!D19/'Finacial Anaylsis'!D$7</f>
        <v>3.8425497539839905E-2</v>
      </c>
      <c r="E16" s="26">
        <f>'Finacial Anaylsis'!E19/'Finacial Anaylsis'!E$7</f>
        <v>4.1175600869070558E-2</v>
      </c>
      <c r="F16" s="26">
        <f>'Finacial Anaylsis'!F19/'Finacial Anaylsis'!F$7</f>
        <v>3.454457786530496E-2</v>
      </c>
    </row>
    <row r="17" spans="2:6" ht="13.95" customHeight="1" thickBot="1" x14ac:dyDescent="0.35">
      <c r="B17" s="31" t="s">
        <v>18</v>
      </c>
      <c r="C17" s="32">
        <f>'Finacial Anaylsis'!C20/'Finacial Anaylsis'!C$7</f>
        <v>9.234576047509073E-2</v>
      </c>
      <c r="D17" s="32">
        <f>'Finacial Anaylsis'!D20/'Finacial Anaylsis'!D$7</f>
        <v>0.10625835352867739</v>
      </c>
      <c r="E17" s="32">
        <f>'Finacial Anaylsis'!E20/'Finacial Anaylsis'!E$7</f>
        <v>9.5456174335353985E-2</v>
      </c>
      <c r="F17" s="32">
        <f>'Finacial Anaylsis'!F20/'Finacial Anaylsis'!F$7</f>
        <v>8.5662001777653846E-2</v>
      </c>
    </row>
    <row r="18" spans="2:6" ht="13.95" customHeight="1" x14ac:dyDescent="0.3">
      <c r="B18" s="18"/>
      <c r="C18" s="25"/>
      <c r="D18" s="25"/>
      <c r="E18" s="25"/>
      <c r="F18" s="25"/>
    </row>
    <row r="19" spans="2:6" ht="13.95" customHeight="1" x14ac:dyDescent="0.3">
      <c r="B19" s="23" t="s">
        <v>58</v>
      </c>
      <c r="C19" s="24" t="s">
        <v>2</v>
      </c>
      <c r="D19" s="24" t="s">
        <v>3</v>
      </c>
      <c r="E19" s="24" t="s">
        <v>4</v>
      </c>
      <c r="F19" s="24" t="s">
        <v>5</v>
      </c>
    </row>
    <row r="20" spans="2:6" ht="13.95" customHeight="1" x14ac:dyDescent="0.3">
      <c r="B20" s="16" t="s">
        <v>20</v>
      </c>
      <c r="C20" s="20"/>
      <c r="D20" s="20"/>
      <c r="E20" s="20"/>
      <c r="F20" s="20"/>
    </row>
    <row r="21" spans="2:6" ht="13.95" customHeight="1" x14ac:dyDescent="0.3">
      <c r="B21" s="16" t="s">
        <v>21</v>
      </c>
      <c r="C21" s="17">
        <f>IF('Finacial Anaylsis'!C25/'Finacial Anaylsis'!C$40=0," ",'Finacial Anaylsis'!C25/'Finacial Anaylsis'!C$40)</f>
        <v>3.5341891844448865E-3</v>
      </c>
      <c r="D21" s="17">
        <f>IF('Finacial Anaylsis'!D25/'Finacial Anaylsis'!D$40=0," ",'Finacial Anaylsis'!D25/'Finacial Anaylsis'!D$40)</f>
        <v>2.9060536368972585E-3</v>
      </c>
      <c r="E21" s="17">
        <f>IF('Finacial Anaylsis'!E25/'Finacial Anaylsis'!E$40=0," ",'Finacial Anaylsis'!E25/'Finacial Anaylsis'!E$40)</f>
        <v>2.5062906234854369E-3</v>
      </c>
      <c r="F21" s="17">
        <f>IF('Finacial Anaylsis'!F25/'Finacial Anaylsis'!F$40=0," ",'Finacial Anaylsis'!F25/'Finacial Anaylsis'!F$40)</f>
        <v>2.3605294464323959E-3</v>
      </c>
    </row>
    <row r="22" spans="2:6" ht="13.95" customHeight="1" x14ac:dyDescent="0.3">
      <c r="B22" s="18" t="s">
        <v>22</v>
      </c>
      <c r="C22" s="17">
        <f>IF('Finacial Anaylsis'!C26/'Finacial Anaylsis'!C$40=0," ",'Finacial Anaylsis'!C26/'Finacial Anaylsis'!C$40)</f>
        <v>0.71304022188154614</v>
      </c>
      <c r="D22" s="17">
        <f>IF('Finacial Anaylsis'!D26/'Finacial Anaylsis'!D$40=0," ",'Finacial Anaylsis'!D26/'Finacial Anaylsis'!D$40)</f>
        <v>0.7106186430076693</v>
      </c>
      <c r="E22" s="17">
        <f>IF('Finacial Anaylsis'!E26/'Finacial Anaylsis'!E$40=0," ",'Finacial Anaylsis'!E26/'Finacial Anaylsis'!E$40)</f>
        <v>0.70389255150344243</v>
      </c>
      <c r="F22" s="17">
        <f>IF('Finacial Anaylsis'!F26/'Finacial Anaylsis'!F$40=0," ",'Finacial Anaylsis'!F26/'Finacial Anaylsis'!F$40)</f>
        <v>0.73381356819819699</v>
      </c>
    </row>
    <row r="23" spans="2:6" ht="13.95" customHeight="1" x14ac:dyDescent="0.3">
      <c r="B23" s="18" t="s">
        <v>23</v>
      </c>
      <c r="C23" s="17">
        <f>IF('Finacial Anaylsis'!C27/'Finacial Anaylsis'!C$40=0," ",'Finacial Anaylsis'!C27/'Finacial Anaylsis'!C$40)</f>
        <v>3.3703525997355209E-4</v>
      </c>
      <c r="D23" s="17">
        <f>IF('Finacial Anaylsis'!D27/'Finacial Anaylsis'!D$40=0," ",'Finacial Anaylsis'!D27/'Finacial Anaylsis'!D$40)</f>
        <v>2.9637898018687272E-4</v>
      </c>
      <c r="E23" s="17">
        <f>IF('Finacial Anaylsis'!E27/'Finacial Anaylsis'!E$40=0," ",'Finacial Anaylsis'!E27/'Finacial Anaylsis'!E$40)</f>
        <v>2.672270134974539E-4</v>
      </c>
      <c r="F23" s="17">
        <f>IF('Finacial Anaylsis'!F27/'Finacial Anaylsis'!F$40=0," ",'Finacial Anaylsis'!F27/'Finacial Anaylsis'!F$40)</f>
        <v>2.7513455799476933E-4</v>
      </c>
    </row>
    <row r="24" spans="2:6" ht="13.95" customHeight="1" x14ac:dyDescent="0.3">
      <c r="B24" s="18" t="s">
        <v>24</v>
      </c>
      <c r="C24" s="17" t="str">
        <f>IF('Finacial Anaylsis'!C28/'Finacial Anaylsis'!C$40=0," ",'Finacial Anaylsis'!C28/'Finacial Anaylsis'!C$40)</f>
        <v xml:space="preserve"> </v>
      </c>
      <c r="D24" s="17" t="str">
        <f>IF('Finacial Anaylsis'!D28/'Finacial Anaylsis'!D$40=0," ",'Finacial Anaylsis'!D28/'Finacial Anaylsis'!D$40)</f>
        <v xml:space="preserve"> </v>
      </c>
      <c r="E24" s="17" t="str">
        <f>IF('Finacial Anaylsis'!E28/'Finacial Anaylsis'!E$40=0," ",'Finacial Anaylsis'!E28/'Finacial Anaylsis'!E$40)</f>
        <v xml:space="preserve"> </v>
      </c>
      <c r="F24" s="17" t="str">
        <f>IF('Finacial Anaylsis'!F28/'Finacial Anaylsis'!F$40=0," ",'Finacial Anaylsis'!F28/'Finacial Anaylsis'!F$40)</f>
        <v xml:space="preserve"> </v>
      </c>
    </row>
    <row r="25" spans="2:6" ht="13.95" customHeight="1" x14ac:dyDescent="0.3">
      <c r="B25" s="18" t="s">
        <v>25</v>
      </c>
      <c r="C25" s="17" t="str">
        <f>IF('Finacial Anaylsis'!C29/'Finacial Anaylsis'!C$40=0," ",'Finacial Anaylsis'!C29/'Finacial Anaylsis'!C$40)</f>
        <v xml:space="preserve"> </v>
      </c>
      <c r="D25" s="17" t="str">
        <f>IF('Finacial Anaylsis'!D29/'Finacial Anaylsis'!D$40=0," ",'Finacial Anaylsis'!D29/'Finacial Anaylsis'!D$40)</f>
        <v xml:space="preserve"> </v>
      </c>
      <c r="E25" s="17">
        <f>IF('Finacial Anaylsis'!E29/'Finacial Anaylsis'!E$40=0," ",'Finacial Anaylsis'!E29/'Finacial Anaylsis'!E$40)</f>
        <v>1.659795114891018E-4</v>
      </c>
      <c r="F25" s="17">
        <f>IF('Finacial Anaylsis'!F29/'Finacial Anaylsis'!F$40=0," ",'Finacial Anaylsis'!F29/'Finacial Anaylsis'!F$40)</f>
        <v>1.2506116272489515E-4</v>
      </c>
    </row>
    <row r="26" spans="2:6" ht="13.95" customHeight="1" x14ac:dyDescent="0.3">
      <c r="B26" s="18" t="s">
        <v>26</v>
      </c>
      <c r="C26" s="17">
        <f>IF('Finacial Anaylsis'!C30/'Finacial Anaylsis'!C$40=0," ",'Finacial Anaylsis'!C30/'Finacial Anaylsis'!C$40)</f>
        <v>1.8899720307544676E-2</v>
      </c>
      <c r="D26" s="17">
        <f>IF('Finacial Anaylsis'!D30/'Finacial Anaylsis'!D$40=0," ",'Finacial Anaylsis'!D30/'Finacial Anaylsis'!D$40)</f>
        <v>2.1275776791986219E-2</v>
      </c>
      <c r="E26" s="17">
        <f>IF('Finacial Anaylsis'!E30/'Finacial Anaylsis'!E$40=0," ",'Finacial Anaylsis'!E30/'Finacial Anaylsis'!E$40)</f>
        <v>2.6322690727056654E-2</v>
      </c>
      <c r="F26" s="17">
        <f>IF('Finacial Anaylsis'!F30/'Finacial Anaylsis'!F$40=0," ",'Finacial Anaylsis'!F30/'Finacial Anaylsis'!F$40)</f>
        <v>3.1845261823360491E-2</v>
      </c>
    </row>
    <row r="27" spans="2:6" ht="13.95" customHeight="1" x14ac:dyDescent="0.3">
      <c r="B27" s="18" t="s">
        <v>27</v>
      </c>
      <c r="C27" s="17">
        <f>IF('Finacial Anaylsis'!C31/'Finacial Anaylsis'!C$40=0," ",'Finacial Anaylsis'!C31/'Finacial Anaylsis'!C$40)</f>
        <v>3.4639735052837301E-4</v>
      </c>
      <c r="D27" s="17">
        <f>IF('Finacial Anaylsis'!D31/'Finacial Anaylsis'!D$40=0," ",'Finacial Anaylsis'!D31/'Finacial Anaylsis'!D$40)</f>
        <v>4.2147400429172157E-4</v>
      </c>
      <c r="E27" s="17">
        <f>IF('Finacial Anaylsis'!E31/'Finacial Anaylsis'!E$40=0," ",'Finacial Anaylsis'!E31/'Finacial Anaylsis'!E$40)</f>
        <v>4.3984570544611972E-4</v>
      </c>
      <c r="F27" s="17">
        <f>IF('Finacial Anaylsis'!F31/'Finacial Anaylsis'!F$40=0," ",'Finacial Anaylsis'!F31/'Finacial Anaylsis'!F$40)</f>
        <v>6.1748949095416982E-4</v>
      </c>
    </row>
    <row r="28" spans="2:6" ht="13.95" customHeight="1" x14ac:dyDescent="0.3">
      <c r="B28" s="18" t="s">
        <v>28</v>
      </c>
      <c r="C28" s="17">
        <f>IF('Finacial Anaylsis'!C32/'Finacial Anaylsis'!C$40=0," ",'Finacial Anaylsis'!C32/'Finacial Anaylsis'!C$40)</f>
        <v>5.3527752747188446E-3</v>
      </c>
      <c r="D28" s="17">
        <f>IF('Finacial Anaylsis'!D32/'Finacial Anaylsis'!D$40=0," ",'Finacial Anaylsis'!D32/'Finacial Anaylsis'!D$40)</f>
        <v>9.7343174141896246E-3</v>
      </c>
      <c r="E28" s="17">
        <f>IF('Finacial Anaylsis'!E32/'Finacial Anaylsis'!E$40=0," ",'Finacial Anaylsis'!E32/'Finacial Anaylsis'!E$40)</f>
        <v>9.991966591643928E-3</v>
      </c>
      <c r="F28" s="17">
        <f>IF('Finacial Anaylsis'!F32/'Finacial Anaylsis'!F$40=0," ",'Finacial Anaylsis'!F32/'Finacial Anaylsis'!F$40)</f>
        <v>9.5968809746016411E-3</v>
      </c>
    </row>
    <row r="29" spans="2:6" ht="13.95" customHeight="1" x14ac:dyDescent="0.3">
      <c r="B29" s="19" t="s">
        <v>29</v>
      </c>
      <c r="C29" s="17" t="str">
        <f>IF('Finacial Anaylsis'!C33/'Finacial Anaylsis'!C$40=0," ",'Finacial Anaylsis'!C33/'Finacial Anaylsis'!C$40)</f>
        <v xml:space="preserve"> </v>
      </c>
      <c r="D29" s="17" t="str">
        <f>IF('Finacial Anaylsis'!D33/'Finacial Anaylsis'!D$40=0," ",'Finacial Anaylsis'!D33/'Finacial Anaylsis'!D$40)</f>
        <v xml:space="preserve"> </v>
      </c>
      <c r="E29" s="17" t="str">
        <f>IF('Finacial Anaylsis'!E33/'Finacial Anaylsis'!E$40=0," ",'Finacial Anaylsis'!E33/'Finacial Anaylsis'!E$40)</f>
        <v xml:space="preserve"> </v>
      </c>
      <c r="F29" s="17" t="str">
        <f>IF('Finacial Anaylsis'!F33/'Finacial Anaylsis'!F$40=0," ",'Finacial Anaylsis'!F33/'Finacial Anaylsis'!F$40)</f>
        <v xml:space="preserve"> </v>
      </c>
    </row>
    <row r="30" spans="2:6" ht="13.95" customHeight="1" x14ac:dyDescent="0.3">
      <c r="B30" s="18" t="s">
        <v>30</v>
      </c>
      <c r="C30" s="17">
        <f>IF('Finacial Anaylsis'!C34/'Finacial Anaylsis'!C$40=0," ",'Finacial Anaylsis'!C34/'Finacial Anaylsis'!C$40)</f>
        <v>1.8621198113538753E-2</v>
      </c>
      <c r="D30" s="17">
        <f>IF('Finacial Anaylsis'!D34/'Finacial Anaylsis'!D$40=0," ",'Finacial Anaylsis'!D34/'Finacial Anaylsis'!D$40)</f>
        <v>1.5465594057024086E-2</v>
      </c>
      <c r="E30" s="17">
        <f>IF('Finacial Anaylsis'!E34/'Finacial Anaylsis'!E$40=0," ",'Finacial Anaylsis'!E34/'Finacial Anaylsis'!E$40)</f>
        <v>1.4176310076284183E-2</v>
      </c>
      <c r="F30" s="17">
        <f>IF('Finacial Anaylsis'!F34/'Finacial Anaylsis'!F$40=0," ",'Finacial Anaylsis'!F34/'Finacial Anaylsis'!F$40)</f>
        <v>1.0519207049697743E-2</v>
      </c>
    </row>
    <row r="31" spans="2:6" ht="13.95" customHeight="1" x14ac:dyDescent="0.3">
      <c r="B31" s="18" t="s">
        <v>31</v>
      </c>
      <c r="C31" s="17">
        <f>IF('Finacial Anaylsis'!C35/'Finacial Anaylsis'!C$40=0," ",'Finacial Anaylsis'!C35/'Finacial Anaylsis'!C$40)</f>
        <v>1.8115645223578424E-3</v>
      </c>
      <c r="D31" s="17">
        <f>IF('Finacial Anaylsis'!D35/'Finacial Anaylsis'!D$40=0," ",'Finacial Anaylsis'!D35/'Finacial Anaylsis'!D$40)</f>
        <v>9.307069793400756E-3</v>
      </c>
      <c r="E31" s="17">
        <f>IF('Finacial Anaylsis'!E35/'Finacial Anaylsis'!E$40=0," ",'Finacial Anaylsis'!E35/'Finacial Anaylsis'!E$40)</f>
        <v>1.8390529872992479E-3</v>
      </c>
      <c r="F31" s="17">
        <f>IF('Finacial Anaylsis'!F35/'Finacial Anaylsis'!F$40=0," ",'Finacial Anaylsis'!F35/'Finacial Anaylsis'!F$40)</f>
        <v>2.3386437429555392E-3</v>
      </c>
    </row>
    <row r="32" spans="2:6" ht="13.95" customHeight="1" x14ac:dyDescent="0.3">
      <c r="B32" s="18" t="s">
        <v>32</v>
      </c>
      <c r="C32" s="17">
        <f>IF('Finacial Anaylsis'!C36/'Finacial Anaylsis'!C$40=0," ",'Finacial Anaylsis'!C36/'Finacial Anaylsis'!C$40)</f>
        <v>0.17340698177903124</v>
      </c>
      <c r="D32" s="17">
        <f>IF('Finacial Anaylsis'!D36/'Finacial Anaylsis'!D$40=0," ",'Finacial Anaylsis'!D36/'Finacial Anaylsis'!D$40)</f>
        <v>0.16106850395973865</v>
      </c>
      <c r="E32" s="17">
        <f>IF('Finacial Anaylsis'!E36/'Finacial Anaylsis'!E$40=0," ",'Finacial Anaylsis'!E36/'Finacial Anaylsis'!E$40)</f>
        <v>0.17426686849775264</v>
      </c>
      <c r="F32" s="17">
        <f>IF('Finacial Anaylsis'!F36/'Finacial Anaylsis'!F$40=0," ",'Finacial Anaylsis'!F36/'Finacial Anaylsis'!F$40)</f>
        <v>0.15066274599921525</v>
      </c>
    </row>
    <row r="33" spans="2:6" ht="13.95" customHeight="1" x14ac:dyDescent="0.3">
      <c r="B33" s="18" t="s">
        <v>33</v>
      </c>
      <c r="C33" s="17">
        <f>IF('Finacial Anaylsis'!C37/'Finacial Anaylsis'!C$40=0," ",'Finacial Anaylsis'!C37/'Finacial Anaylsis'!C$40)</f>
        <v>2.7267088740915848E-2</v>
      </c>
      <c r="D33" s="17">
        <f>IF('Finacial Anaylsis'!D37/'Finacial Anaylsis'!D$40=0," ",'Finacial Anaylsis'!D37/'Finacial Anaylsis'!D$40)</f>
        <v>3.5176720778283502E-2</v>
      </c>
      <c r="E33" s="17">
        <f>IF('Finacial Anaylsis'!E37/'Finacial Anaylsis'!E$40=0," ",'Finacial Anaylsis'!E37/'Finacial Anaylsis'!E$40)</f>
        <v>3.4683078720762706E-2</v>
      </c>
      <c r="F33" s="17">
        <f>IF('Finacial Anaylsis'!F37/'Finacial Anaylsis'!F$40=0," ",'Finacial Anaylsis'!F37/'Finacial Anaylsis'!F$40)</f>
        <v>2.5526546576685159E-2</v>
      </c>
    </row>
    <row r="34" spans="2:6" ht="13.95" customHeight="1" x14ac:dyDescent="0.3">
      <c r="B34" s="18" t="s">
        <v>34</v>
      </c>
      <c r="C34" s="17">
        <f>IF('Finacial Anaylsis'!C38/'Finacial Anaylsis'!C$40=0," ",'Finacial Anaylsis'!C38/'Finacial Anaylsis'!C$40)</f>
        <v>9.3480474189886597E-3</v>
      </c>
      <c r="D34" s="17">
        <f>IF('Finacial Anaylsis'!D38/'Finacial Anaylsis'!D$40=0," ",'Finacial Anaylsis'!D38/'Finacial Anaylsis'!D$40)</f>
        <v>8.6565756680555429E-3</v>
      </c>
      <c r="E34" s="17">
        <f>IF('Finacial Anaylsis'!E38/'Finacial Anaylsis'!E$40=0," ",'Finacial Anaylsis'!E38/'Finacial Anaylsis'!E$40)</f>
        <v>9.3097907994237183E-3</v>
      </c>
      <c r="F34" s="17">
        <f>IF('Finacial Anaylsis'!F38/'Finacial Anaylsis'!F$40=0," ",'Finacial Anaylsis'!F38/'Finacial Anaylsis'!F$40)</f>
        <v>9.7766563960186778E-3</v>
      </c>
    </row>
    <row r="35" spans="2:6" ht="13.95" customHeight="1" x14ac:dyDescent="0.3">
      <c r="B35" s="18" t="s">
        <v>35</v>
      </c>
      <c r="C35" s="17">
        <f>IF('Finacial Anaylsis'!C39/'Finacial Anaylsis'!C$40=0," ",'Finacial Anaylsis'!C39/'Finacial Anaylsis'!C$40)</f>
        <v>2.8034780166411158E-2</v>
      </c>
      <c r="D35" s="17">
        <f>IF('Finacial Anaylsis'!D39/'Finacial Anaylsis'!D$40=0," ",'Finacial Anaylsis'!D39/'Finacial Anaylsis'!D$40)</f>
        <v>2.5072891908276478E-2</v>
      </c>
      <c r="E35" s="17">
        <f>IF('Finacial Anaylsis'!E39/'Finacial Anaylsis'!E$40=0," ",'Finacial Anaylsis'!E39/'Finacial Anaylsis'!E$40)</f>
        <v>2.2138347242416395E-2</v>
      </c>
      <c r="F35" s="17">
        <f>IF('Finacial Anaylsis'!F39/'Finacial Anaylsis'!F$40=0," ",'Finacial Anaylsis'!F39/'Finacial Anaylsis'!F$40)</f>
        <v>2.2542274581162348E-2</v>
      </c>
    </row>
    <row r="36" spans="2:6" ht="13.95" customHeight="1" x14ac:dyDescent="0.3">
      <c r="B36" s="16" t="s">
        <v>8</v>
      </c>
      <c r="C36" s="20">
        <f>IF('Finacial Anaylsis'!C40/'Finacial Anaylsis'!C$40=0," ",'Finacial Anaylsis'!C40/'Finacial Anaylsis'!C$40)</f>
        <v>1</v>
      </c>
      <c r="D36" s="20">
        <f>IF('Finacial Anaylsis'!D40/'Finacial Anaylsis'!D$40=0," ",'Finacial Anaylsis'!D40/'Finacial Anaylsis'!D$40)</f>
        <v>1</v>
      </c>
      <c r="E36" s="20">
        <f>IF('Finacial Anaylsis'!E40/'Finacial Anaylsis'!E$40=0," ",'Finacial Anaylsis'!E40/'Finacial Anaylsis'!E$40)</f>
        <v>1</v>
      </c>
      <c r="F36" s="20">
        <f>IF('Finacial Anaylsis'!F40/'Finacial Anaylsis'!F$40=0," ",'Finacial Anaylsis'!F40/'Finacial Anaylsis'!F$40)</f>
        <v>1</v>
      </c>
    </row>
    <row r="37" spans="2:6" ht="13.95" customHeight="1" x14ac:dyDescent="0.3">
      <c r="B37" s="16" t="s">
        <v>36</v>
      </c>
      <c r="C37" s="20"/>
      <c r="D37" s="20"/>
      <c r="E37" s="20"/>
      <c r="F37" s="20"/>
    </row>
    <row r="38" spans="2:6" ht="13.95" customHeight="1" x14ac:dyDescent="0.3">
      <c r="B38" s="16" t="s">
        <v>37</v>
      </c>
      <c r="C38" s="17"/>
      <c r="D38" s="17"/>
      <c r="E38" s="17"/>
      <c r="F38" s="17"/>
    </row>
    <row r="39" spans="2:6" ht="13.95" customHeight="1" x14ac:dyDescent="0.3">
      <c r="B39" s="18" t="s">
        <v>38</v>
      </c>
      <c r="C39" s="17">
        <f>IF('Finacial Anaylsis'!C43/'Finacial Anaylsis'!C$40=0," ",'Finacial Anaylsis'!C43/'Finacial Anaylsis'!C$40)</f>
        <v>0.28513885150554119</v>
      </c>
      <c r="D39" s="17">
        <f>IF('Finacial Anaylsis'!D43/'Finacial Anaylsis'!D$40=0," ",'Finacial Anaylsis'!D43/'Finacial Anaylsis'!D$40)</f>
        <v>0.24899106051712358</v>
      </c>
      <c r="E39" s="17">
        <f>IF('Finacial Anaylsis'!E43/'Finacial Anaylsis'!E$40=0," ",'Finacial Anaylsis'!E43/'Finacial Anaylsis'!E$40)</f>
        <v>0.21705306696941329</v>
      </c>
      <c r="F39" s="17">
        <f>IF('Finacial Anaylsis'!F43/'Finacial Anaylsis'!F$40=0," ",'Finacial Anaylsis'!F43/'Finacial Anaylsis'!F$40)</f>
        <v>0.23427394960347794</v>
      </c>
    </row>
    <row r="40" spans="2:6" ht="13.95" customHeight="1" x14ac:dyDescent="0.3">
      <c r="B40" s="18" t="s">
        <v>39</v>
      </c>
      <c r="C40" s="17">
        <f>IF('Finacial Anaylsis'!C44/'Finacial Anaylsis'!C$40=0," ",'Finacial Anaylsis'!C44/'Finacial Anaylsis'!C$40)</f>
        <v>8.1192730336684185E-3</v>
      </c>
      <c r="D40" s="17">
        <f>IF('Finacial Anaylsis'!D44/'Finacial Anaylsis'!D$40=0," ",'Finacial Anaylsis'!D44/'Finacial Anaylsis'!D$40)</f>
        <v>7.1785298447859429E-3</v>
      </c>
      <c r="E40" s="17">
        <f>IF('Finacial Anaylsis'!E44/'Finacial Anaylsis'!E$40=0," ",'Finacial Anaylsis'!E44/'Finacial Anaylsis'!E$40)</f>
        <v>5.1735813731153026E-3</v>
      </c>
      <c r="F40" s="17">
        <f>IF('Finacial Anaylsis'!F44/'Finacial Anaylsis'!F$40=0," ",'Finacial Anaylsis'!F44/'Finacial Anaylsis'!F$40)</f>
        <v>7.0518863131500253E-3</v>
      </c>
    </row>
    <row r="41" spans="2:6" ht="13.95" customHeight="1" x14ac:dyDescent="0.3">
      <c r="B41" s="18" t="s">
        <v>40</v>
      </c>
      <c r="C41" s="17">
        <f>IF('Finacial Anaylsis'!C45/'Finacial Anaylsis'!C$40=0," ",'Finacial Anaylsis'!C45/'Finacial Anaylsis'!C$40)</f>
        <v>2.356672244912289E-2</v>
      </c>
      <c r="D41" s="17">
        <f>IF('Finacial Anaylsis'!D45/'Finacial Anaylsis'!D$40=0," ",'Finacial Anaylsis'!D45/'Finacial Anaylsis'!D$40)</f>
        <v>2.4100999797923423E-2</v>
      </c>
      <c r="E41" s="17">
        <f>IF('Finacial Anaylsis'!E45/'Finacial Anaylsis'!E$40=0," ",'Finacial Anaylsis'!E45/'Finacial Anaylsis'!E$40)</f>
        <v>3.5388491644591388E-2</v>
      </c>
      <c r="F41" s="17">
        <f>IF('Finacial Anaylsis'!F45/'Finacial Anaylsis'!F$40=0," ",'Finacial Anaylsis'!F45/'Finacial Anaylsis'!F$40)</f>
        <v>2.5120097797829252E-2</v>
      </c>
    </row>
    <row r="42" spans="2:6" ht="13.95" customHeight="1" x14ac:dyDescent="0.3">
      <c r="B42" s="18" t="s">
        <v>41</v>
      </c>
      <c r="C42" s="17">
        <f>IF('Finacial Anaylsis'!C46/'Finacial Anaylsis'!C$40=0," ",'Finacial Anaylsis'!C46/'Finacial Anaylsis'!C$40)</f>
        <v>0.45720939485787176</v>
      </c>
      <c r="D42" s="17">
        <f>IF('Finacial Anaylsis'!D46/'Finacial Anaylsis'!D$40=0," ",'Finacial Anaylsis'!D46/'Finacial Anaylsis'!D$40)</f>
        <v>0.51908276479248661</v>
      </c>
      <c r="E42" s="17">
        <f>IF('Finacial Anaylsis'!E46/'Finacial Anaylsis'!E$40=0," ",'Finacial Anaylsis'!E46/'Finacial Anaylsis'!E$40)</f>
        <v>0.57936476321362895</v>
      </c>
      <c r="F42" s="17">
        <f>IF('Finacial Anaylsis'!F46/'Finacial Anaylsis'!F$40=0," ",'Finacial Anaylsis'!F46/'Finacial Anaylsis'!F$40)</f>
        <v>0.50740596573011487</v>
      </c>
    </row>
    <row r="43" spans="2:6" ht="13.95" customHeight="1" x14ac:dyDescent="0.3">
      <c r="B43" s="18" t="s">
        <v>42</v>
      </c>
      <c r="C43" s="17">
        <f>IF('Finacial Anaylsis'!C47/'Finacial Anaylsis'!C$40=0," ",'Finacial Anaylsis'!C47/'Finacial Anaylsis'!C$40)</f>
        <v>5.4768229745702219E-4</v>
      </c>
      <c r="D43" s="17">
        <f>IF('Finacial Anaylsis'!D47/'Finacial Anaylsis'!D$40=0," ",'Finacial Anaylsis'!D47/'Finacial Anaylsis'!D$40)</f>
        <v>4.6381385860413201E-4</v>
      </c>
      <c r="E43" s="17">
        <f>IF('Finacial Anaylsis'!E47/'Finacial Anaylsis'!E$40=0," ",'Finacial Anaylsis'!E47/'Finacial Anaylsis'!E$40)</f>
        <v>5.4441279768425381E-4</v>
      </c>
      <c r="F43" s="17">
        <f>IF('Finacial Anaylsis'!F47/'Finacial Anaylsis'!F$40=0," ",'Finacial Anaylsis'!F47/'Finacial Anaylsis'!F$40)</f>
        <v>5.3776299971704917E-4</v>
      </c>
    </row>
    <row r="44" spans="2:6" ht="13.95" customHeight="1" x14ac:dyDescent="0.3">
      <c r="B44" s="18" t="s">
        <v>43</v>
      </c>
      <c r="C44" s="17">
        <f>IF('Finacial Anaylsis'!C48/'Finacial Anaylsis'!C$40=0," ",'Finacial Anaylsis'!C48/'Finacial Anaylsis'!C$40)</f>
        <v>9.3620905548208909E-6</v>
      </c>
      <c r="D44" s="17">
        <f>IF('Finacial Anaylsis'!D48/'Finacial Anaylsis'!D$40=0," ",'Finacial Anaylsis'!D48/'Finacial Anaylsis'!D$40)</f>
        <v>5.7736164971468714E-6</v>
      </c>
      <c r="E44" s="17">
        <f>IF('Finacial Anaylsis'!E48/'Finacial Anaylsis'!E$40=0," ",'Finacial Anaylsis'!E48/'Finacial Anaylsis'!E$40)</f>
        <v>3.3195902297820358E-6</v>
      </c>
      <c r="F44" s="17">
        <f>IF('Finacial Anaylsis'!F48/'Finacial Anaylsis'!F$40=0," ",'Finacial Anaylsis'!F48/'Finacial Anaylsis'!F$40)</f>
        <v>3.1265290681223785E-6</v>
      </c>
    </row>
    <row r="45" spans="2:6" ht="13.95" customHeight="1" x14ac:dyDescent="0.3">
      <c r="B45" s="18" t="s">
        <v>44</v>
      </c>
      <c r="C45" s="17">
        <f>IF('Finacial Anaylsis'!C49/'Finacial Anaylsis'!C$40=0," ",'Finacial Anaylsis'!C49/'Finacial Anaylsis'!C$40)</f>
        <v>3.9311418239692926E-2</v>
      </c>
      <c r="D45" s="17">
        <f>IF('Finacial Anaylsis'!D49/'Finacial Anaylsis'!D$40=0," ",'Finacial Anaylsis'!D49/'Finacial Anaylsis'!D$40)</f>
        <v>3.0856131099585262E-2</v>
      </c>
      <c r="E45" s="17">
        <f>IF('Finacial Anaylsis'!E49/'Finacial Anaylsis'!E$40=0," ",'Finacial Anaylsis'!E49/'Finacial Anaylsis'!E$40)</f>
        <v>3.0850611800479349E-2</v>
      </c>
      <c r="F45" s="17">
        <f>IF('Finacial Anaylsis'!F49/'Finacial Anaylsis'!F$40=0," ",'Finacial Anaylsis'!F49/'Finacial Anaylsis'!F$40)</f>
        <v>3.2189180020853948E-2</v>
      </c>
    </row>
    <row r="46" spans="2:6" ht="13.95" customHeight="1" x14ac:dyDescent="0.3">
      <c r="B46" s="19" t="s">
        <v>45</v>
      </c>
      <c r="C46" s="17" t="str">
        <f>IF('Finacial Anaylsis'!C50/'Finacial Anaylsis'!C$40=0," ",'Finacial Anaylsis'!C50/'Finacial Anaylsis'!C$40)</f>
        <v xml:space="preserve"> </v>
      </c>
      <c r="D46" s="17" t="str">
        <f>IF('Finacial Anaylsis'!D50/'Finacial Anaylsis'!D$40=0," ",'Finacial Anaylsis'!D50/'Finacial Anaylsis'!D$40)</f>
        <v xml:space="preserve"> </v>
      </c>
      <c r="E46" s="17" t="str">
        <f>IF('Finacial Anaylsis'!E50/'Finacial Anaylsis'!E$40=0," ",'Finacial Anaylsis'!E50/'Finacial Anaylsis'!E$40)</f>
        <v xml:space="preserve"> </v>
      </c>
      <c r="F46" s="17" t="str">
        <f>IF('Finacial Anaylsis'!F50/'Finacial Anaylsis'!F$40=0," ",'Finacial Anaylsis'!F50/'Finacial Anaylsis'!F$40)</f>
        <v xml:space="preserve"> </v>
      </c>
    </row>
    <row r="47" spans="2:6" ht="13.95" customHeight="1" x14ac:dyDescent="0.3">
      <c r="B47" s="18" t="s">
        <v>46</v>
      </c>
      <c r="C47" s="17">
        <f>IF('Finacial Anaylsis'!C51/'Finacial Anaylsis'!C$40=0," ",'Finacial Anaylsis'!C51/'Finacial Anaylsis'!C$40)</f>
        <v>7.3319212180079807E-2</v>
      </c>
      <c r="D47" s="17">
        <f>IF('Finacial Anaylsis'!D51/'Finacial Anaylsis'!D$40=0," ",'Finacial Anaylsis'!D51/'Finacial Anaylsis'!D$40)</f>
        <v>6.281117387246081E-2</v>
      </c>
      <c r="E47" s="17">
        <f>IF('Finacial Anaylsis'!E51/'Finacial Anaylsis'!E$40=0," ",'Finacial Anaylsis'!E51/'Finacial Anaylsis'!E$40)</f>
        <v>5.2452845220785943E-2</v>
      </c>
      <c r="F47" s="17">
        <f>IF('Finacial Anaylsis'!F51/'Finacial Anaylsis'!F$40=0," ",'Finacial Anaylsis'!F51/'Finacial Anaylsis'!F$40)</f>
        <v>5.1941027408717075E-2</v>
      </c>
    </row>
    <row r="48" spans="2:6" ht="13.95" customHeight="1" x14ac:dyDescent="0.3">
      <c r="B48" s="18" t="s">
        <v>47</v>
      </c>
      <c r="C48" s="17">
        <f>IF('Finacial Anaylsis'!C52/'Finacial Anaylsis'!C$40=0," ",'Finacial Anaylsis'!C52/'Finacial Anaylsis'!C$40)</f>
        <v>3.0974476600624919E-2</v>
      </c>
      <c r="D48" s="17">
        <f>IF('Finacial Anaylsis'!D52/'Finacial Anaylsis'!D$40=0," ",'Finacial Anaylsis'!D52/'Finacial Anaylsis'!D$40)</f>
        <v>2.3144503998229423E-2</v>
      </c>
      <c r="E48" s="17">
        <f>IF('Finacial Anaylsis'!E52/'Finacial Anaylsis'!E$40=0," ",'Finacial Anaylsis'!E52/'Finacial Anaylsis'!E$40)</f>
        <v>2.4322637613612974E-2</v>
      </c>
      <c r="F48" s="17">
        <f>IF('Finacial Anaylsis'!F52/'Finacial Anaylsis'!F$40=0," ",'Finacial Anaylsis'!F52/'Finacial Anaylsis'!F$40)</f>
        <v>3.6155182143767187E-2</v>
      </c>
    </row>
    <row r="49" spans="2:6" ht="13.95" customHeight="1" x14ac:dyDescent="0.3">
      <c r="B49" s="18" t="s">
        <v>48</v>
      </c>
      <c r="C49" s="17">
        <f>IF('Finacial Anaylsis'!C53/'Finacial Anaylsis'!C$40=0," ",'Finacial Anaylsis'!C53/'Finacial Anaylsis'!C$40)</f>
        <v>1.186644977823548E-3</v>
      </c>
      <c r="D49" s="17">
        <f>IF('Finacial Anaylsis'!D53/'Finacial Anaylsis'!D$40=0," ",'Finacial Anaylsis'!D53/'Finacial Anaylsis'!D$40)</f>
        <v>4.5226662560983824E-4</v>
      </c>
      <c r="E49" s="17">
        <f>IF('Finacial Anaylsis'!E53/'Finacial Anaylsis'!E$40=0," ",'Finacial Anaylsis'!E53/'Finacial Anaylsis'!E$40)</f>
        <v>1.2282483850193531E-3</v>
      </c>
      <c r="F49" s="17">
        <f>IF('Finacial Anaylsis'!F53/'Finacial Anaylsis'!F$40=0," ",'Finacial Anaylsis'!F53/'Finacial Anaylsis'!F$40)</f>
        <v>2.9358107949669135E-3</v>
      </c>
    </row>
    <row r="50" spans="2:6" ht="13.95" customHeight="1" x14ac:dyDescent="0.3">
      <c r="B50" s="18" t="s">
        <v>49</v>
      </c>
      <c r="C50" s="17">
        <f>IF('Finacial Anaylsis'!C54/'Finacial Anaylsis'!C$40=0," ",'Finacial Anaylsis'!C54/'Finacial Anaylsis'!C$40)</f>
        <v>7.2556201799861911E-5</v>
      </c>
      <c r="D50" s="17">
        <f>IF('Finacial Anaylsis'!D54/'Finacial Anaylsis'!D$40=0," ",'Finacial Anaylsis'!D54/'Finacial Anaylsis'!D$40)</f>
        <v>4.8113470809557259E-5</v>
      </c>
      <c r="E50" s="17">
        <f>IF('Finacial Anaylsis'!E54/'Finacial Anaylsis'!E$40=0," ",'Finacial Anaylsis'!E54/'Finacial Anaylsis'!E$40)</f>
        <v>4.9793853446730539E-5</v>
      </c>
      <c r="F50" s="17">
        <f>IF('Finacial Anaylsis'!F54/'Finacial Anaylsis'!F$40=0," ",'Finacial Anaylsis'!F54/'Finacial Anaylsis'!F$40)</f>
        <v>2.5168558998385146E-4</v>
      </c>
    </row>
    <row r="51" spans="2:6" ht="13.95" customHeight="1" x14ac:dyDescent="0.3">
      <c r="B51" s="18" t="s">
        <v>50</v>
      </c>
      <c r="C51" s="17">
        <f>IF('Finacial Anaylsis'!C55/'Finacial Anaylsis'!C$40=0," ",'Finacial Anaylsis'!C55/'Finacial Anaylsis'!C$40)</f>
        <v>3.8878421551532455E-2</v>
      </c>
      <c r="D51" s="17">
        <f>IF('Finacial Anaylsis'!D55/'Finacial Anaylsis'!D$40=0," ",'Finacial Anaylsis'!D55/'Finacial Anaylsis'!D$40)</f>
        <v>2.9653294329346332E-2</v>
      </c>
      <c r="E51" s="17">
        <f>IF('Finacial Anaylsis'!E55/'Finacial Anaylsis'!E$40=0," ",'Finacial Anaylsis'!E55/'Finacial Anaylsis'!E$40)</f>
        <v>2.1809707809667976E-2</v>
      </c>
      <c r="F51" s="17">
        <f>IF('Finacial Anaylsis'!F55/'Finacial Anaylsis'!F$40=0," ",'Finacial Anaylsis'!F55/'Finacial Anaylsis'!F$40)</f>
        <v>8.8136854430369855E-3</v>
      </c>
    </row>
    <row r="52" spans="2:6" ht="13.95" customHeight="1" x14ac:dyDescent="0.3">
      <c r="B52" s="18" t="s">
        <v>51</v>
      </c>
      <c r="C52" s="17">
        <f>IF('Finacial Anaylsis'!C56/'Finacial Anaylsis'!C$40=0," ",'Finacial Anaylsis'!C56/'Finacial Anaylsis'!C$40)</f>
        <v>1.1482604065487824E-2</v>
      </c>
      <c r="D52" s="17">
        <f>IF('Finacial Anaylsis'!D56/'Finacial Anaylsis'!D$40=0," ",'Finacial Anaylsis'!D56/'Finacial Anaylsis'!D$40)</f>
        <v>9.4494856669970467E-3</v>
      </c>
      <c r="E52" s="17">
        <f>IF('Finacial Anaylsis'!E56/'Finacial Anaylsis'!E$40=0," ",'Finacial Anaylsis'!E56/'Finacial Anaylsis'!E$40)</f>
        <v>6.8300568977765382E-3</v>
      </c>
      <c r="F52" s="17">
        <f>IF('Finacial Anaylsis'!F56/'Finacial Anaylsis'!F$40=0," ",'Finacial Anaylsis'!F56/'Finacial Anaylsis'!F$40)</f>
        <v>6.6860824121797065E-3</v>
      </c>
    </row>
    <row r="53" spans="2:6" ht="13.95" customHeight="1" x14ac:dyDescent="0.3">
      <c r="B53" s="18" t="s">
        <v>52</v>
      </c>
      <c r="C53" s="17">
        <f>IF('Finacial Anaylsis'!C57/'Finacial Anaylsis'!C$40=0," ",'Finacial Anaylsis'!C57/'Finacial Anaylsis'!C$40)</f>
        <v>2.671238487554271E-2</v>
      </c>
      <c r="D53" s="17">
        <f>IF('Finacial Anaylsis'!D57/'Finacial Anaylsis'!D$40=0," ",'Finacial Anaylsis'!D57/'Finacial Anaylsis'!D$40)</f>
        <v>4.1931852079945341E-2</v>
      </c>
      <c r="E53" s="17">
        <f>IF('Finacial Anaylsis'!E57/'Finacial Anaylsis'!E$40=0," ",'Finacial Anaylsis'!E57/'Finacial Anaylsis'!E$40)</f>
        <v>2.0204685933568362E-2</v>
      </c>
      <c r="F53" s="17">
        <f>IF('Finacial Anaylsis'!F57/'Finacial Anaylsis'!F$40=0," ",'Finacial Anaylsis'!F57/'Finacial Anaylsis'!F$40)</f>
        <v>7.8874512066057306E-2</v>
      </c>
    </row>
    <row r="54" spans="2:6" ht="13.95" customHeight="1" thickBot="1" x14ac:dyDescent="0.35">
      <c r="B54" s="18" t="s">
        <v>42</v>
      </c>
      <c r="C54" s="17">
        <f>IF('Finacial Anaylsis'!C58/'Finacial Anaylsis'!C$40=0," ",'Finacial Anaylsis'!C58/'Finacial Anaylsis'!C$40)</f>
        <v>3.4709950731998456E-3</v>
      </c>
      <c r="D54" s="17">
        <f>IF('Finacial Anaylsis'!D58/'Finacial Anaylsis'!D$40=0," ",'Finacial Anaylsis'!D58/'Finacial Anaylsis'!D$40)</f>
        <v>1.8302364295955582E-3</v>
      </c>
      <c r="E54" s="17">
        <f>IF('Finacial Anaylsis'!E58/'Finacial Anaylsis'!E$40=0," ",'Finacial Anaylsis'!E58/'Finacial Anaylsis'!E$40)</f>
        <v>4.7237768969798366E-3</v>
      </c>
      <c r="F54" s="17">
        <f>IF('Finacial Anaylsis'!F58/'Finacial Anaylsis'!F$40=0," ",'Finacial Anaylsis'!F58/'Finacial Anaylsis'!F$40)</f>
        <v>7.7600451470797435E-3</v>
      </c>
    </row>
    <row r="55" spans="2:6" ht="13.95" customHeight="1" thickBot="1" x14ac:dyDescent="0.35">
      <c r="B55" s="21" t="s">
        <v>8</v>
      </c>
      <c r="C55" s="22">
        <f>IF('Finacial Anaylsis'!C59/'Finacial Anaylsis'!C$40=0," ",'Finacial Anaylsis'!C59/'Finacial Anaylsis'!C$40)</f>
        <v>1</v>
      </c>
      <c r="D55" s="22">
        <f>IF('Finacial Anaylsis'!D59/'Finacial Anaylsis'!D$40=0," ",'Finacial Anaylsis'!D59/'Finacial Anaylsis'!D$40)</f>
        <v>1</v>
      </c>
      <c r="E55" s="22">
        <f>IF('Finacial Anaylsis'!E59/'Finacial Anaylsis'!E$40=0," ",'Finacial Anaylsis'!E59/'Finacial Anaylsis'!E$40)</f>
        <v>1</v>
      </c>
      <c r="F55" s="22">
        <f>IF('Finacial Anaylsis'!F59/'Finacial Anaylsis'!F$40=0," ",'Finacial Anaylsis'!F59/'Finacial Anaylsis'!F$40)</f>
        <v>1</v>
      </c>
    </row>
    <row r="56" spans="2:6" ht="13.95" customHeight="1" x14ac:dyDescent="0.25">
      <c r="B56" s="10"/>
      <c r="C56" s="10"/>
      <c r="D56" s="10"/>
      <c r="E56" s="10"/>
      <c r="F5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2638-6C59-4147-84DF-093D5B8C01CE}">
  <dimension ref="B2:F54"/>
  <sheetViews>
    <sheetView showGridLines="0" workbookViewId="0">
      <selection activeCell="I21" sqref="I21"/>
    </sheetView>
  </sheetViews>
  <sheetFormatPr defaultRowHeight="13.95" customHeight="1" x14ac:dyDescent="0.3"/>
  <cols>
    <col min="2" max="2" width="60" customWidth="1"/>
    <col min="4" max="4" width="7.5546875" bestFit="1" customWidth="1"/>
  </cols>
  <sheetData>
    <row r="2" spans="2:6" ht="13.95" customHeight="1" x14ac:dyDescent="0.3">
      <c r="B2" s="23" t="s">
        <v>59</v>
      </c>
      <c r="C2" s="24" t="s">
        <v>2</v>
      </c>
      <c r="D2" s="24" t="s">
        <v>3</v>
      </c>
      <c r="E2" s="24" t="s">
        <v>4</v>
      </c>
      <c r="F2" s="24" t="s">
        <v>5</v>
      </c>
    </row>
    <row r="3" spans="2:6" ht="13.95" customHeight="1" x14ac:dyDescent="0.3">
      <c r="B3" s="18" t="s">
        <v>6</v>
      </c>
      <c r="C3" s="25"/>
      <c r="D3" s="40">
        <f>'Finacial Anaylsis'!D7/'Finacial Anaylsis'!C7-1</f>
        <v>0.18225702825192314</v>
      </c>
      <c r="E3" s="40">
        <f>'Finacial Anaylsis'!E7/'Finacial Anaylsis'!D7-1</f>
        <v>0.17220239406624072</v>
      </c>
      <c r="F3" s="40">
        <f>'Finacial Anaylsis'!F7/'Finacial Anaylsis'!E7-1</f>
        <v>7.8425598989592782E-2</v>
      </c>
    </row>
    <row r="4" spans="2:6" ht="13.95" customHeight="1" x14ac:dyDescent="0.3">
      <c r="B4" s="18" t="s">
        <v>7</v>
      </c>
      <c r="C4" s="25"/>
      <c r="D4" s="40">
        <f>'Finacial Anaylsis'!D8/'Finacial Anaylsis'!C8-1</f>
        <v>0.54640010806429817</v>
      </c>
      <c r="E4" s="40">
        <f>'Finacial Anaylsis'!E8/'Finacial Anaylsis'!D8-1</f>
        <v>-0.10648148148148151</v>
      </c>
      <c r="F4" s="40">
        <f>'Finacial Anaylsis'!F8/'Finacial Anaylsis'!E8-1</f>
        <v>0.25212630755694598</v>
      </c>
    </row>
    <row r="5" spans="2:6" ht="13.95" customHeight="1" x14ac:dyDescent="0.3">
      <c r="B5" s="29" t="s">
        <v>8</v>
      </c>
      <c r="C5" s="25"/>
      <c r="D5" s="40">
        <f>'Finacial Anaylsis'!D9/'Finacial Anaylsis'!C9-1</f>
        <v>0.19138440077467944</v>
      </c>
      <c r="E5" s="40">
        <f>'Finacial Anaylsis'!E9/'Finacial Anaylsis'!D9-1</f>
        <v>0.16313556311510125</v>
      </c>
      <c r="F5" s="40">
        <f>'Finacial Anaylsis'!F9/'Finacial Anaylsis'!E9-1</f>
        <v>8.2766885915616761E-2</v>
      </c>
    </row>
    <row r="6" spans="2:6" ht="13.95" customHeight="1" x14ac:dyDescent="0.3">
      <c r="B6" s="18" t="s">
        <v>53</v>
      </c>
      <c r="C6" s="25"/>
      <c r="D6" s="40">
        <f>'Finacial Anaylsis'!D10/'Finacial Anaylsis'!C10-1</f>
        <v>0.20762155738128452</v>
      </c>
      <c r="E6" s="40">
        <f>'Finacial Anaylsis'!E10/'Finacial Anaylsis'!D10-1</f>
        <v>0.17636953331250993</v>
      </c>
      <c r="F6" s="40">
        <f>'Finacial Anaylsis'!F10/'Finacial Anaylsis'!E10-1</f>
        <v>9.5984257839708542E-2</v>
      </c>
    </row>
    <row r="7" spans="2:6" ht="13.95" customHeight="1" x14ac:dyDescent="0.3">
      <c r="B7" s="18" t="s">
        <v>10</v>
      </c>
      <c r="C7" s="25"/>
      <c r="D7" s="40">
        <f>'Finacial Anaylsis'!D11/'Finacial Anaylsis'!C11-1</f>
        <v>0.17997300404939254</v>
      </c>
      <c r="E7" s="40">
        <f>'Finacial Anaylsis'!E11/'Finacial Anaylsis'!D11-1</f>
        <v>0.21315087065203575</v>
      </c>
      <c r="F7" s="40">
        <f>'Finacial Anaylsis'!F11/'Finacial Anaylsis'!E11-1</f>
        <v>0.14723754976601233</v>
      </c>
    </row>
    <row r="8" spans="2:6" ht="13.95" customHeight="1" x14ac:dyDescent="0.3">
      <c r="B8" s="18" t="s">
        <v>11</v>
      </c>
      <c r="C8" s="25"/>
      <c r="D8" s="40">
        <f>'Finacial Anaylsis'!D12/'Finacial Anaylsis'!C12-1</f>
        <v>8.3658215589381912E-2</v>
      </c>
      <c r="E8" s="40">
        <f>'Finacial Anaylsis'!E12/'Finacial Anaylsis'!D12-1</f>
        <v>0.14523373052245647</v>
      </c>
      <c r="F8" s="40">
        <f>'Finacial Anaylsis'!F12/'Finacial Anaylsis'!E12-1</f>
        <v>0.16436231942054502</v>
      </c>
    </row>
    <row r="9" spans="2:6" ht="13.95" customHeight="1" x14ac:dyDescent="0.3">
      <c r="B9" s="29" t="s">
        <v>8</v>
      </c>
      <c r="C9" s="25"/>
      <c r="D9" s="40">
        <f>'Finacial Anaylsis'!D13/'Finacial Anaylsis'!C13-1</f>
        <v>0.18601121809661514</v>
      </c>
      <c r="E9" s="40">
        <f>'Finacial Anaylsis'!E13/'Finacial Anaylsis'!D13-1</f>
        <v>0.17317159630298895</v>
      </c>
      <c r="F9" s="40">
        <f>'Finacial Anaylsis'!F13/'Finacial Anaylsis'!E13-1</f>
        <v>0.10822152226174042</v>
      </c>
    </row>
    <row r="10" spans="2:6" ht="13.95" customHeight="1" x14ac:dyDescent="0.3">
      <c r="B10" s="29" t="s">
        <v>12</v>
      </c>
      <c r="C10" s="25"/>
      <c r="D10" s="40">
        <f>'Finacial Anaylsis'!D14/'Finacial Anaylsis'!C14-1</f>
        <v>0.1615223424137735</v>
      </c>
      <c r="E10" s="40">
        <f>'Finacial Anaylsis'!E14/'Finacial Anaylsis'!D14-1</f>
        <v>0.16673655468330972</v>
      </c>
      <c r="F10" s="40">
        <f>'Finacial Anaylsis'!F14/'Finacial Anaylsis'!E14-1</f>
        <v>-9.0536011300284991E-2</v>
      </c>
    </row>
    <row r="11" spans="2:6" ht="13.95" customHeight="1" x14ac:dyDescent="0.3">
      <c r="B11" s="18" t="s">
        <v>13</v>
      </c>
      <c r="C11" s="25"/>
      <c r="D11" s="40">
        <f>'Finacial Anaylsis'!D15/'Finacial Anaylsis'!C15-1</f>
        <v>-7.7220214047770908E-2</v>
      </c>
      <c r="E11" s="40">
        <f>'Finacial Anaylsis'!E15/'Finacial Anaylsis'!D15-1</f>
        <v>5.9871730865240558E-2</v>
      </c>
      <c r="F11" s="40">
        <f>'Finacial Anaylsis'!F15/'Finacial Anaylsis'!E15-1</f>
        <v>9.4572070439886913E-2</v>
      </c>
    </row>
    <row r="12" spans="2:6" ht="13.95" customHeight="1" x14ac:dyDescent="0.3">
      <c r="B12" s="29" t="s">
        <v>14</v>
      </c>
      <c r="C12" s="25"/>
      <c r="D12" s="40">
        <f>'Finacial Anaylsis'!D16/'Finacial Anaylsis'!C16-1</f>
        <v>0.27367772653869848</v>
      </c>
      <c r="E12" s="40">
        <f>'Finacial Anaylsis'!E16/'Finacial Anaylsis'!D16-1</f>
        <v>0.20310825294748125</v>
      </c>
      <c r="F12" s="40">
        <f>'Finacial Anaylsis'!F16/'Finacial Anaylsis'!E16-1</f>
        <v>-0.14603726438155251</v>
      </c>
    </row>
    <row r="13" spans="2:6" ht="13.95" customHeight="1" x14ac:dyDescent="0.3">
      <c r="B13" s="18" t="s">
        <v>15</v>
      </c>
      <c r="C13" s="25"/>
      <c r="D13" s="40">
        <f>'Finacial Anaylsis'!D17/'Finacial Anaylsis'!C17-1</f>
        <v>9.4247246022031828E-2</v>
      </c>
      <c r="E13" s="40">
        <f>'Finacial Anaylsis'!E17/'Finacial Anaylsis'!D17-1</f>
        <v>2.8680089485458611</v>
      </c>
      <c r="F13" s="40">
        <f>'Finacial Anaylsis'!F17/'Finacial Anaylsis'!E17-1</f>
        <v>-0.78050896471949105</v>
      </c>
    </row>
    <row r="14" spans="2:6" ht="13.95" customHeight="1" x14ac:dyDescent="0.3">
      <c r="B14" s="29" t="s">
        <v>16</v>
      </c>
      <c r="C14" s="25"/>
      <c r="D14" s="40">
        <f>'Finacial Anaylsis'!D18/'Finacial Anaylsis'!C18-1</f>
        <v>0.33018256454574924</v>
      </c>
      <c r="E14" s="40">
        <f>'Finacial Anaylsis'!E18/'Finacial Anaylsis'!D18-1</f>
        <v>0.10696593170097857</v>
      </c>
      <c r="F14" s="40">
        <f>'Finacial Anaylsis'!F18/'Finacial Anaylsis'!E18-1</f>
        <v>-5.1217387317162633E-2</v>
      </c>
    </row>
    <row r="15" spans="2:6" ht="13.95" customHeight="1" x14ac:dyDescent="0.3">
      <c r="B15" s="18" t="s">
        <v>17</v>
      </c>
      <c r="C15" s="25"/>
      <c r="D15" s="40">
        <f>'Finacial Anaylsis'!D19/'Finacial Anaylsis'!C19-1</f>
        <v>0.25326946107784432</v>
      </c>
      <c r="E15" s="40">
        <f>'Finacial Anaylsis'!E19/'Finacial Anaylsis'!D19-1</f>
        <v>0.25609662869811167</v>
      </c>
      <c r="F15" s="40">
        <f>'Finacial Anaylsis'!F19/'Finacial Anaylsis'!E19-1</f>
        <v>-9.524678960501487E-2</v>
      </c>
    </row>
    <row r="16" spans="2:6" ht="13.95" customHeight="1" x14ac:dyDescent="0.3">
      <c r="B16" s="29" t="s">
        <v>18</v>
      </c>
      <c r="C16" s="25"/>
      <c r="D16" s="41">
        <f>'Finacial Anaylsis'!D20/'Finacial Anaylsis'!C20-1</f>
        <v>0.36037306556853022</v>
      </c>
      <c r="E16" s="41">
        <f>'Finacial Anaylsis'!E20/'Finacial Anaylsis'!D20-1</f>
        <v>5.3036795399883818E-2</v>
      </c>
      <c r="F16" s="41">
        <f>'Finacial Anaylsis'!F20/'Finacial Anaylsis'!E20-1</f>
        <v>-3.2225037081763608E-2</v>
      </c>
    </row>
    <row r="17" spans="2:6" ht="13.95" customHeight="1" x14ac:dyDescent="0.3">
      <c r="B17" s="25"/>
      <c r="C17" s="26"/>
      <c r="D17" s="25"/>
      <c r="E17" s="25"/>
      <c r="F17" s="25"/>
    </row>
    <row r="18" spans="2:6" ht="13.95" customHeight="1" x14ac:dyDescent="0.3">
      <c r="B18" s="23" t="s">
        <v>58</v>
      </c>
      <c r="C18" s="24" t="s">
        <v>2</v>
      </c>
      <c r="D18" s="24" t="s">
        <v>3</v>
      </c>
      <c r="E18" s="24" t="s">
        <v>4</v>
      </c>
      <c r="F18" s="24" t="s">
        <v>5</v>
      </c>
    </row>
    <row r="19" spans="2:6" ht="13.95" customHeight="1" x14ac:dyDescent="0.3">
      <c r="B19" s="29" t="s">
        <v>20</v>
      </c>
      <c r="C19" s="25"/>
      <c r="D19" s="25"/>
      <c r="E19" s="25"/>
      <c r="F19" s="25"/>
    </row>
    <row r="20" spans="2:6" ht="13.95" customHeight="1" x14ac:dyDescent="0.3">
      <c r="B20" s="18" t="s">
        <v>21</v>
      </c>
      <c r="C20" s="25"/>
      <c r="D20" s="40">
        <f>IFERROR('Finacial Anaylsis'!D25/'Finacial Anaylsis'!C25-1,"")</f>
        <v>0</v>
      </c>
      <c r="E20" s="40">
        <f>IFERROR('Finacial Anaylsis'!E25/'Finacial Anaylsis'!D25-1,"")</f>
        <v>0</v>
      </c>
      <c r="F20" s="40">
        <f>IFERROR('Finacial Anaylsis'!F25/'Finacial Anaylsis'!E25-1,"")</f>
        <v>0</v>
      </c>
    </row>
    <row r="21" spans="2:6" ht="13.95" customHeight="1" x14ac:dyDescent="0.3">
      <c r="B21" s="18" t="s">
        <v>22</v>
      </c>
      <c r="C21" s="25"/>
      <c r="D21" s="40">
        <f>IFERROR('Finacial Anaylsis'!D26/'Finacial Anaylsis'!C26-1,"")</f>
        <v>0.21201706876743809</v>
      </c>
      <c r="E21" s="40">
        <f>IFERROR('Finacial Anaylsis'!E26/'Finacial Anaylsis'!D26-1,"")</f>
        <v>0.14852900950869485</v>
      </c>
      <c r="F21" s="40">
        <f>IFERROR('Finacial Anaylsis'!F26/'Finacial Anaylsis'!E26-1,"")</f>
        <v>0.10688212712575806</v>
      </c>
    </row>
    <row r="22" spans="2:6" ht="13.95" customHeight="1" x14ac:dyDescent="0.3">
      <c r="B22" s="18" t="s">
        <v>23</v>
      </c>
      <c r="C22" s="25"/>
      <c r="D22" s="40">
        <f>IFERROR('Finacial Anaylsis'!D27/'Finacial Anaylsis'!C27-1,"")</f>
        <v>6.944444444444442E-2</v>
      </c>
      <c r="E22" s="40">
        <f>IFERROR('Finacial Anaylsis'!E27/'Finacial Anaylsis'!D27-1,"")</f>
        <v>4.5454545454545414E-2</v>
      </c>
      <c r="F22" s="40">
        <f>IFERROR('Finacial Anaylsis'!F27/'Finacial Anaylsis'!E27-1,"")</f>
        <v>9.3167701863354102E-2</v>
      </c>
    </row>
    <row r="23" spans="2:6" ht="13.95" customHeight="1" x14ac:dyDescent="0.3">
      <c r="B23" s="19" t="s">
        <v>24</v>
      </c>
      <c r="C23" s="25"/>
      <c r="D23" s="40" t="str">
        <f>IFERROR('Finacial Anaylsis'!D28/'Finacial Anaylsis'!C28-1,"")</f>
        <v/>
      </c>
      <c r="E23" s="40" t="str">
        <f>IFERROR('Finacial Anaylsis'!E28/'Finacial Anaylsis'!D28-1,"")</f>
        <v/>
      </c>
      <c r="F23" s="40" t="str">
        <f>IFERROR('Finacial Anaylsis'!F28/'Finacial Anaylsis'!E28-1,"")</f>
        <v/>
      </c>
    </row>
    <row r="24" spans="2:6" ht="13.95" customHeight="1" x14ac:dyDescent="0.3">
      <c r="B24" s="18" t="s">
        <v>25</v>
      </c>
      <c r="C24" s="25"/>
      <c r="D24" s="40" t="str">
        <f>IFERROR('Finacial Anaylsis'!D29/'Finacial Anaylsis'!C29-1,"")</f>
        <v/>
      </c>
      <c r="E24" s="40" t="str">
        <f>IFERROR('Finacial Anaylsis'!E29/'Finacial Anaylsis'!D29-1,"")</f>
        <v/>
      </c>
      <c r="F24" s="40">
        <f>IFERROR('Finacial Anaylsis'!F29/'Finacial Anaylsis'!E29-1,"")</f>
        <v>-0.19999999999999996</v>
      </c>
    </row>
    <row r="25" spans="2:6" ht="13.95" customHeight="1" x14ac:dyDescent="0.3">
      <c r="B25" s="18" t="s">
        <v>26</v>
      </c>
      <c r="C25" s="25"/>
      <c r="D25" s="40">
        <f>IFERROR('Finacial Anaylsis'!D30/'Finacial Anaylsis'!C30-1,"")</f>
        <v>0.36904024767801857</v>
      </c>
      <c r="E25" s="40">
        <f>IFERROR('Finacial Anaylsis'!E30/'Finacial Anaylsis'!D30-1,"")</f>
        <v>0.43455450022614195</v>
      </c>
      <c r="F25" s="40">
        <f>IFERROR('Finacial Anaylsis'!F30/'Finacial Anaylsis'!E30-1,"")</f>
        <v>0.28450721987514971</v>
      </c>
    </row>
    <row r="26" spans="2:6" ht="13.95" customHeight="1" x14ac:dyDescent="0.3">
      <c r="B26" s="18" t="s">
        <v>27</v>
      </c>
      <c r="C26" s="25"/>
      <c r="D26" s="40">
        <f>IFERROR('Finacial Anaylsis'!D31/'Finacial Anaylsis'!C31-1,"")</f>
        <v>0.47972972972972983</v>
      </c>
      <c r="E26" s="40">
        <f>IFERROR('Finacial Anaylsis'!E31/'Finacial Anaylsis'!D31-1,"")</f>
        <v>0.21004566210045672</v>
      </c>
      <c r="F26" s="40">
        <f>IFERROR('Finacial Anaylsis'!F31/'Finacial Anaylsis'!E31-1,"")</f>
        <v>0.49056603773584895</v>
      </c>
    </row>
    <row r="27" spans="2:6" ht="13.95" customHeight="1" x14ac:dyDescent="0.3">
      <c r="B27" s="18" t="s">
        <v>28</v>
      </c>
      <c r="C27" s="25"/>
      <c r="D27" s="40">
        <f>IFERROR('Finacial Anaylsis'!D32/'Finacial Anaylsis'!C32-1,"")</f>
        <v>1.2116309575863577</v>
      </c>
      <c r="E27" s="40">
        <f>IFERROR('Finacial Anaylsis'!E32/'Finacial Anaylsis'!D32-1,"")</f>
        <v>0.19019375247133263</v>
      </c>
      <c r="F27" s="40">
        <f>IFERROR('Finacial Anaylsis'!F32/'Finacial Anaylsis'!E32-1,"")</f>
        <v>1.9767441860465196E-2</v>
      </c>
    </row>
    <row r="28" spans="2:6" ht="13.95" customHeight="1" x14ac:dyDescent="0.3">
      <c r="B28" s="19" t="s">
        <v>29</v>
      </c>
      <c r="C28" s="25"/>
      <c r="D28" s="40" t="str">
        <f>IFERROR('Finacial Anaylsis'!D33/'Finacial Anaylsis'!C33-1,"")</f>
        <v/>
      </c>
      <c r="E28" s="40" t="str">
        <f>IFERROR('Finacial Anaylsis'!E33/'Finacial Anaylsis'!D33-1,"")</f>
        <v/>
      </c>
      <c r="F28" s="40" t="str">
        <f>IFERROR('Finacial Anaylsis'!F33/'Finacial Anaylsis'!E33-1,"")</f>
        <v/>
      </c>
    </row>
    <row r="29" spans="2:6" ht="13.95" customHeight="1" x14ac:dyDescent="0.3">
      <c r="B29" s="18" t="s">
        <v>30</v>
      </c>
      <c r="C29" s="25"/>
      <c r="D29" s="40">
        <f>IFERROR('Finacial Anaylsis'!D34/'Finacial Anaylsis'!C34-1,"")</f>
        <v>1.0055304172951196E-2</v>
      </c>
      <c r="E29" s="40">
        <f>IFERROR('Finacial Anaylsis'!E34/'Finacial Anaylsis'!D34-1,"")</f>
        <v>6.2842210054753656E-2</v>
      </c>
      <c r="F29" s="40">
        <f>IFERROR('Finacial Anaylsis'!F34/'Finacial Anaylsis'!E34-1,"")</f>
        <v>-0.21215314365999294</v>
      </c>
    </row>
    <row r="30" spans="2:6" ht="13.95" customHeight="1" x14ac:dyDescent="0.3">
      <c r="B30" s="18" t="s">
        <v>31</v>
      </c>
      <c r="C30" s="25"/>
      <c r="D30" s="40">
        <f>IFERROR('Finacial Anaylsis'!D35/'Finacial Anaylsis'!C35-1,"")</f>
        <v>5.2480620155038764</v>
      </c>
      <c r="E30" s="40">
        <f>IFERROR('Finacial Anaylsis'!E35/'Finacial Anaylsis'!D35-1,"")</f>
        <v>-0.77088502894954503</v>
      </c>
      <c r="F30" s="40">
        <f>IFERROR('Finacial Anaylsis'!F35/'Finacial Anaylsis'!E35-1,"")</f>
        <v>0.35018050541516255</v>
      </c>
    </row>
    <row r="31" spans="2:6" ht="13.95" customHeight="1" x14ac:dyDescent="0.3">
      <c r="B31" s="18" t="s">
        <v>32</v>
      </c>
      <c r="C31" s="25"/>
      <c r="D31" s="40">
        <f>IFERROR('Finacial Anaylsis'!D36/'Finacial Anaylsis'!C36-1,"")</f>
        <v>0.12961438270188563</v>
      </c>
      <c r="E31" s="40">
        <f>IFERROR('Finacial Anaylsis'!E36/'Finacial Anaylsis'!D36-1,"")</f>
        <v>0.25451656072264961</v>
      </c>
      <c r="F31" s="40">
        <f>IFERROR('Finacial Anaylsis'!F36/'Finacial Anaylsis'!E36-1,"")</f>
        <v>-8.2062613698056008E-2</v>
      </c>
    </row>
    <row r="32" spans="2:6" ht="13.95" customHeight="1" x14ac:dyDescent="0.3">
      <c r="B32" s="18" t="s">
        <v>33</v>
      </c>
      <c r="C32" s="25"/>
      <c r="D32" s="40">
        <f>IFERROR('Finacial Anaylsis'!D37/'Finacial Anaylsis'!C37-1,"")</f>
        <v>0.56892703862660943</v>
      </c>
      <c r="E32" s="40">
        <f>IFERROR('Finacial Anaylsis'!E37/'Finacial Anaylsis'!D37-1,"")</f>
        <v>0.143232301127038</v>
      </c>
      <c r="F32" s="40">
        <f>IFERROR('Finacial Anaylsis'!F37/'Finacial Anaylsis'!E37-1,"")</f>
        <v>-0.21855857580398164</v>
      </c>
    </row>
    <row r="33" spans="2:6" ht="13.95" customHeight="1" x14ac:dyDescent="0.3">
      <c r="B33" s="18" t="s">
        <v>34</v>
      </c>
      <c r="C33" s="25"/>
      <c r="D33" s="40">
        <f>IFERROR('Finacial Anaylsis'!D38/'Finacial Anaylsis'!C38-1,"")</f>
        <v>0.12618928392588891</v>
      </c>
      <c r="E33" s="40">
        <f>IFERROR('Finacial Anaylsis'!E38/'Finacial Anaylsis'!D38-1,"")</f>
        <v>0.2469986660738106</v>
      </c>
      <c r="F33" s="40">
        <f>IFERROR('Finacial Anaylsis'!F38/'Finacial Anaylsis'!E38-1,"")</f>
        <v>0.11499376002852557</v>
      </c>
    </row>
    <row r="34" spans="2:6" ht="13.95" customHeight="1" x14ac:dyDescent="0.3">
      <c r="B34" s="18" t="s">
        <v>35</v>
      </c>
      <c r="C34" s="25"/>
      <c r="D34" s="40">
        <f>IFERROR('Finacial Anaylsis'!D39/'Finacial Anaylsis'!C39-1,"")</f>
        <v>8.7660711304057504E-2</v>
      </c>
      <c r="E34" s="40">
        <f>IFERROR('Finacial Anaylsis'!E39/'Finacial Anaylsis'!D39-1,"")</f>
        <v>2.3794903285231817E-2</v>
      </c>
      <c r="F34" s="40">
        <f>IFERROR('Finacial Anaylsis'!F39/'Finacial Anaylsis'!E39-1,"")</f>
        <v>8.1121607437396825E-2</v>
      </c>
    </row>
    <row r="35" spans="2:6" ht="13.95" customHeight="1" x14ac:dyDescent="0.3">
      <c r="B35" s="42" t="s">
        <v>8</v>
      </c>
      <c r="C35" s="43"/>
      <c r="D35" s="41">
        <f>IFERROR('Finacial Anaylsis'!D40/'Finacial Anaylsis'!C40-1,"")</f>
        <v>0.21614726568442744</v>
      </c>
      <c r="E35" s="41">
        <f>IFERROR('Finacial Anaylsis'!E40/'Finacial Anaylsis'!D40-1,"")</f>
        <v>0.15950385388901189</v>
      </c>
      <c r="F35" s="41">
        <f>IFERROR('Finacial Anaylsis'!F40/'Finacial Anaylsis'!E40-1,"")</f>
        <v>6.174935765929046E-2</v>
      </c>
    </row>
    <row r="36" spans="2:6" ht="13.95" customHeight="1" x14ac:dyDescent="0.3">
      <c r="B36" s="16" t="s">
        <v>36</v>
      </c>
      <c r="C36" s="25"/>
      <c r="D36" s="40" t="str">
        <f>IFERROR('Finacial Anaylsis'!D41/'Finacial Anaylsis'!C41-1,"")</f>
        <v/>
      </c>
      <c r="E36" s="40" t="str">
        <f>IFERROR('Finacial Anaylsis'!E41/'Finacial Anaylsis'!D41-1,"")</f>
        <v/>
      </c>
      <c r="F36" s="40" t="str">
        <f>IFERROR('Finacial Anaylsis'!F41/'Finacial Anaylsis'!E41-1,"")</f>
        <v/>
      </c>
    </row>
    <row r="37" spans="2:6" ht="13.95" customHeight="1" x14ac:dyDescent="0.3">
      <c r="B37" s="16" t="s">
        <v>37</v>
      </c>
      <c r="C37" s="25"/>
      <c r="D37" s="40" t="str">
        <f>IFERROR('Finacial Anaylsis'!D42/'Finacial Anaylsis'!C42-1,"")</f>
        <v/>
      </c>
      <c r="E37" s="40" t="str">
        <f>IFERROR('Finacial Anaylsis'!E42/'Finacial Anaylsis'!D42-1,"")</f>
        <v/>
      </c>
      <c r="F37" s="40" t="str">
        <f>IFERROR('Finacial Anaylsis'!F42/'Finacial Anaylsis'!E42-1,"")</f>
        <v/>
      </c>
    </row>
    <row r="38" spans="2:6" ht="13.95" customHeight="1" x14ac:dyDescent="0.3">
      <c r="B38" s="18" t="s">
        <v>38</v>
      </c>
      <c r="C38" s="25"/>
      <c r="D38" s="40">
        <f>IFERROR('Finacial Anaylsis'!D43/'Finacial Anaylsis'!C43-1,"")</f>
        <v>6.1973125825966369E-2</v>
      </c>
      <c r="E38" s="40">
        <f>IFERROR('Finacial Anaylsis'!E43/'Finacial Anaylsis'!D43-1,"")</f>
        <v>1.0774712661446806E-2</v>
      </c>
      <c r="F38" s="40">
        <f>IFERROR('Finacial Anaylsis'!F43/'Finacial Anaylsis'!E43-1,"")</f>
        <v>0.14598802486789886</v>
      </c>
    </row>
    <row r="39" spans="2:6" ht="13.95" customHeight="1" x14ac:dyDescent="0.3">
      <c r="B39" s="18" t="s">
        <v>39</v>
      </c>
      <c r="C39" s="25"/>
      <c r="D39" s="40">
        <f>IFERROR('Finacial Anaylsis'!D44/'Finacial Anaylsis'!C44-1,"")</f>
        <v>7.5237820697607427E-2</v>
      </c>
      <c r="E39" s="40">
        <f>IFERROR('Finacial Anaylsis'!E44/'Finacial Anaylsis'!D44-1,"")</f>
        <v>-0.16434316353887402</v>
      </c>
      <c r="F39" s="40">
        <f>IFERROR('Finacial Anaylsis'!F44/'Finacial Anaylsis'!E44-1,"")</f>
        <v>0.44722489573307667</v>
      </c>
    </row>
    <row r="40" spans="2:6" ht="13.95" customHeight="1" x14ac:dyDescent="0.3">
      <c r="B40" s="18" t="s">
        <v>40</v>
      </c>
      <c r="C40" s="25"/>
      <c r="D40" s="40">
        <f>IFERROR('Finacial Anaylsis'!D45/'Finacial Anaylsis'!C45-1,"")</f>
        <v>0.24371834343033072</v>
      </c>
      <c r="E40" s="40">
        <f>IFERROR('Finacial Anaylsis'!E45/'Finacial Anaylsis'!D45-1,"")</f>
        <v>0.7025473129441826</v>
      </c>
      <c r="F40" s="40">
        <f>IFERROR('Finacial Anaylsis'!F45/'Finacial Anaylsis'!E45-1,"")</f>
        <v>-0.24632990947891753</v>
      </c>
    </row>
    <row r="41" spans="2:6" ht="13.95" customHeight="1" x14ac:dyDescent="0.3">
      <c r="B41" s="18" t="s">
        <v>41</v>
      </c>
      <c r="C41" s="25"/>
      <c r="D41" s="40">
        <f>IFERROR('Finacial Anaylsis'!D46/'Finacial Anaylsis'!C46-1,"")</f>
        <v>0.38072640712585426</v>
      </c>
      <c r="E41" s="40">
        <f>IFERROR('Finacial Anaylsis'!E46/'Finacial Anaylsis'!D46-1,"")</f>
        <v>0.29415908467362217</v>
      </c>
      <c r="F41" s="40">
        <f>IFERROR('Finacial Anaylsis'!F46/'Finacial Anaylsis'!E46-1,"")</f>
        <v>-7.0123016805230032E-2</v>
      </c>
    </row>
    <row r="42" spans="2:6" ht="13.95" customHeight="1" x14ac:dyDescent="0.3">
      <c r="B42" s="18" t="s">
        <v>42</v>
      </c>
      <c r="C42" s="25"/>
      <c r="D42" s="40">
        <f>IFERROR('Finacial Anaylsis'!D47/'Finacial Anaylsis'!C47-1,"")</f>
        <v>2.9914529914529808E-2</v>
      </c>
      <c r="E42" s="40">
        <f>IFERROR('Finacial Anaylsis'!E47/'Finacial Anaylsis'!D47-1,"")</f>
        <v>0.36099585062240669</v>
      </c>
      <c r="F42" s="40">
        <f>IFERROR('Finacial Anaylsis'!F47/'Finacial Anaylsis'!E47-1,"")</f>
        <v>4.8780487804878092E-2</v>
      </c>
    </row>
    <row r="43" spans="2:6" ht="13.95" customHeight="1" x14ac:dyDescent="0.3">
      <c r="B43" s="18" t="s">
        <v>43</v>
      </c>
      <c r="C43" s="25"/>
      <c r="D43" s="40">
        <f>IFERROR('Finacial Anaylsis'!D48/'Finacial Anaylsis'!C48-1,"")</f>
        <v>-0.25</v>
      </c>
      <c r="E43" s="40">
        <f>IFERROR('Finacial Anaylsis'!E48/'Finacial Anaylsis'!D48-1,"")</f>
        <v>-0.33333333333333337</v>
      </c>
      <c r="F43" s="40">
        <f>IFERROR('Finacial Anaylsis'!F48/'Finacial Anaylsis'!E48-1,"")</f>
        <v>0</v>
      </c>
    </row>
    <row r="44" spans="2:6" ht="13.95" customHeight="1" x14ac:dyDescent="0.3">
      <c r="B44" s="18" t="s">
        <v>44</v>
      </c>
      <c r="C44" s="25"/>
      <c r="D44" s="40">
        <f>IFERROR('Finacial Anaylsis'!D49/'Finacial Anaylsis'!C49-1,"")</f>
        <v>-4.5427482733984337E-2</v>
      </c>
      <c r="E44" s="40">
        <f>IFERROR('Finacial Anaylsis'!E49/'Finacial Anaylsis'!D49-1,"")</f>
        <v>0.15929645106966883</v>
      </c>
      <c r="F44" s="40">
        <f>IFERROR('Finacial Anaylsis'!F49/'Finacial Anaylsis'!E49-1,"")</f>
        <v>0.10781729165545806</v>
      </c>
    </row>
    <row r="45" spans="2:6" ht="13.95" customHeight="1" x14ac:dyDescent="0.3">
      <c r="B45" s="19" t="s">
        <v>45</v>
      </c>
      <c r="C45" s="25"/>
      <c r="D45" s="40" t="str">
        <f>IFERROR('Finacial Anaylsis'!D50/'Finacial Anaylsis'!C50-1,"")</f>
        <v/>
      </c>
      <c r="E45" s="40" t="str">
        <f>IFERROR('Finacial Anaylsis'!E50/'Finacial Anaylsis'!D50-1,"")</f>
        <v/>
      </c>
      <c r="F45" s="40" t="str">
        <f>IFERROR('Finacial Anaylsis'!F50/'Finacial Anaylsis'!E50-1,"")</f>
        <v/>
      </c>
    </row>
    <row r="46" spans="2:6" ht="13.95" customHeight="1" x14ac:dyDescent="0.3">
      <c r="B46" s="18" t="s">
        <v>46</v>
      </c>
      <c r="C46" s="25"/>
      <c r="D46" s="40">
        <f>IFERROR('Finacial Anaylsis'!D51/'Finacial Anaylsis'!C51-1,"")</f>
        <v>4.1850220264317173E-2</v>
      </c>
      <c r="E46" s="40">
        <f>IFERROR('Finacial Anaylsis'!E51/'Finacial Anaylsis'!D51-1,"")</f>
        <v>-3.1712473572938715E-2</v>
      </c>
      <c r="F46" s="40">
        <f>IFERROR('Finacial Anaylsis'!F51/'Finacial Anaylsis'!E51-1,"")</f>
        <v>5.138915258527943E-2</v>
      </c>
    </row>
    <row r="47" spans="2:6" ht="13.95" customHeight="1" x14ac:dyDescent="0.3">
      <c r="B47" s="18" t="s">
        <v>47</v>
      </c>
      <c r="C47" s="25"/>
      <c r="D47" s="40">
        <f>IFERROR('Finacial Anaylsis'!D52/'Finacial Anaylsis'!C52-1,"")</f>
        <v>-9.1280036270213083E-2</v>
      </c>
      <c r="E47" s="40">
        <f>IFERROR('Finacial Anaylsis'!E52/'Finacial Anaylsis'!D52-1,"")</f>
        <v>0.21852652586063526</v>
      </c>
      <c r="F47" s="40">
        <f>IFERROR('Finacial Anaylsis'!F52/'Finacial Anaylsis'!E52-1,"")</f>
        <v>0.57827214412447114</v>
      </c>
    </row>
    <row r="48" spans="2:6" ht="13.95" customHeight="1" x14ac:dyDescent="0.3">
      <c r="B48" s="18" t="s">
        <v>48</v>
      </c>
      <c r="C48" s="25"/>
      <c r="D48" s="40">
        <f>IFERROR('Finacial Anaylsis'!D53/'Finacial Anaylsis'!C53-1,"")</f>
        <v>-0.53648915187376733</v>
      </c>
      <c r="E48" s="40">
        <f>IFERROR('Finacial Anaylsis'!E53/'Finacial Anaylsis'!D53-1,"")</f>
        <v>2.1489361702127661</v>
      </c>
      <c r="F48" s="40">
        <f>IFERROR('Finacial Anaylsis'!F53/'Finacial Anaylsis'!E53-1,"")</f>
        <v>1.5378378378378379</v>
      </c>
    </row>
    <row r="49" spans="2:6" ht="13.95" customHeight="1" x14ac:dyDescent="0.3">
      <c r="B49" s="18" t="s">
        <v>49</v>
      </c>
      <c r="C49" s="25"/>
      <c r="D49" s="40">
        <f>IFERROR('Finacial Anaylsis'!D54/'Finacial Anaylsis'!C54-1,"")</f>
        <v>-0.19354838709677424</v>
      </c>
      <c r="E49" s="40">
        <f>IFERROR('Finacial Anaylsis'!E54/'Finacial Anaylsis'!D54-1,"")</f>
        <v>0.19999999999999996</v>
      </c>
      <c r="F49" s="40">
        <f>IFERROR('Finacial Anaylsis'!F54/'Finacial Anaylsis'!E54-1,"")</f>
        <v>4.3666666666666663</v>
      </c>
    </row>
    <row r="50" spans="2:6" ht="13.95" customHeight="1" x14ac:dyDescent="0.3">
      <c r="B50" s="18" t="s">
        <v>50</v>
      </c>
      <c r="C50" s="25"/>
      <c r="D50" s="40">
        <f>IFERROR('Finacial Anaylsis'!D55/'Finacial Anaylsis'!C55-1,"")</f>
        <v>-7.2421889109626103E-2</v>
      </c>
      <c r="E50" s="40">
        <f>IFERROR('Finacial Anaylsis'!E55/'Finacial Anaylsis'!D55-1,"")</f>
        <v>-0.14719626168224298</v>
      </c>
      <c r="F50" s="40">
        <f>IFERROR('Finacial Anaylsis'!F55/'Finacial Anaylsis'!E55-1,"")</f>
        <v>-0.57092846270928455</v>
      </c>
    </row>
    <row r="51" spans="2:6" ht="13.95" customHeight="1" x14ac:dyDescent="0.3">
      <c r="B51" s="18" t="s">
        <v>51</v>
      </c>
      <c r="C51" s="25"/>
      <c r="D51" s="40">
        <f>IFERROR('Finacial Anaylsis'!D56/'Finacial Anaylsis'!C56-1,"")</f>
        <v>8.1532816958818088E-4</v>
      </c>
      <c r="E51" s="40">
        <f>IFERROR('Finacial Anaylsis'!E56/'Finacial Anaylsis'!D56-1,"")</f>
        <v>-0.16191446028513234</v>
      </c>
      <c r="F51" s="40">
        <f>IFERROR('Finacial Anaylsis'!F56/'Finacial Anaylsis'!E56-1,"")</f>
        <v>3.9368165249088705E-2</v>
      </c>
    </row>
    <row r="52" spans="2:6" ht="13.95" customHeight="1" x14ac:dyDescent="0.3">
      <c r="B52" s="18" t="s">
        <v>52</v>
      </c>
      <c r="C52" s="25"/>
      <c r="D52" s="40">
        <f>IFERROR('Finacial Anaylsis'!D57/'Finacial Anaylsis'!C57-1,"")</f>
        <v>0.90905108209936047</v>
      </c>
      <c r="E52" s="40">
        <f>IFERROR('Finacial Anaylsis'!E57/'Finacial Anaylsis'!D57-1,"")</f>
        <v>-0.44129796218101702</v>
      </c>
      <c r="F52" s="40">
        <f>IFERROR('Finacial Anaylsis'!F57/'Finacial Anaylsis'!E57-1,"")</f>
        <v>3.1448287192968047</v>
      </c>
    </row>
    <row r="53" spans="2:6" ht="13.95" customHeight="1" x14ac:dyDescent="0.3">
      <c r="B53" s="18" t="s">
        <v>42</v>
      </c>
      <c r="C53" s="25"/>
      <c r="D53" s="40">
        <f>IFERROR('Finacial Anaylsis'!D58/'Finacial Anaylsis'!C58-1,"")</f>
        <v>-0.35873229939312201</v>
      </c>
      <c r="E53" s="40">
        <f>IFERROR('Finacial Anaylsis'!E58/'Finacial Anaylsis'!D58-1,"")</f>
        <v>1.9926393270241851</v>
      </c>
      <c r="F53" s="40">
        <f>IFERROR('Finacial Anaylsis'!F58/'Finacial Anaylsis'!E58-1,"")</f>
        <v>0.7442023893183416</v>
      </c>
    </row>
    <row r="54" spans="2:6" ht="13.95" customHeight="1" x14ac:dyDescent="0.3">
      <c r="B54" s="42" t="s">
        <v>8</v>
      </c>
      <c r="C54" s="43"/>
      <c r="D54" s="41">
        <f>IFERROR('Finacial Anaylsis'!D59/'Finacial Anaylsis'!C59-1,"")</f>
        <v>0.21614726568442744</v>
      </c>
      <c r="E54" s="41">
        <f>IFERROR('Finacial Anaylsis'!E59/'Finacial Anaylsis'!D59-1,"")</f>
        <v>0.15950385388901189</v>
      </c>
      <c r="F54" s="41">
        <f>IFERROR('Finacial Anaylsis'!F59/'Finacial Anaylsis'!E59-1,"")</f>
        <v>6.174935765929046E-2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4D4C-8521-4146-921B-54F91BA4227C}">
  <dimension ref="B2:O25"/>
  <sheetViews>
    <sheetView showGridLines="0" tabSelected="1" workbookViewId="0">
      <selection activeCell="D37" sqref="D37"/>
    </sheetView>
  </sheetViews>
  <sheetFormatPr defaultRowHeight="15" customHeight="1" x14ac:dyDescent="0.3"/>
  <cols>
    <col min="2" max="2" width="49.5546875" customWidth="1"/>
    <col min="3" max="4" width="12.6640625" bestFit="1" customWidth="1"/>
    <col min="5" max="6" width="13.88671875" bestFit="1" customWidth="1"/>
  </cols>
  <sheetData>
    <row r="2" spans="2:15" ht="15" customHeight="1" x14ac:dyDescent="0.3">
      <c r="B2" s="44" t="s">
        <v>60</v>
      </c>
      <c r="C2" s="24" t="s">
        <v>2</v>
      </c>
      <c r="D2" s="24" t="s">
        <v>3</v>
      </c>
      <c r="E2" s="24" t="s">
        <v>4</v>
      </c>
      <c r="F2" s="24" t="s">
        <v>5</v>
      </c>
      <c r="G2" s="1"/>
      <c r="H2" s="1"/>
      <c r="I2" s="1"/>
      <c r="J2" s="1"/>
      <c r="K2" s="1"/>
      <c r="L2" s="1"/>
      <c r="M2" s="1"/>
      <c r="N2" s="1"/>
      <c r="O2" s="1"/>
    </row>
    <row r="3" spans="2:15" ht="15" customHeight="1" x14ac:dyDescent="0.3">
      <c r="B3" s="45" t="s">
        <v>61</v>
      </c>
      <c r="C3" s="25"/>
      <c r="D3" s="25"/>
      <c r="E3" s="25"/>
      <c r="F3" s="25"/>
      <c r="G3" s="1"/>
      <c r="H3" s="1"/>
      <c r="I3" s="1"/>
      <c r="J3" s="1"/>
      <c r="K3" s="1"/>
      <c r="L3" s="1"/>
      <c r="M3" s="1"/>
      <c r="N3" s="1"/>
      <c r="O3" s="1"/>
    </row>
    <row r="4" spans="2:15" ht="15" customHeight="1" x14ac:dyDescent="0.3">
      <c r="B4" s="18" t="s">
        <v>62</v>
      </c>
      <c r="C4" s="25"/>
      <c r="D4" s="46">
        <f>'Horizontal anaylsis'!D3</f>
        <v>0.18225702825192314</v>
      </c>
      <c r="E4" s="46">
        <f>'Horizontal anaylsis'!E3</f>
        <v>0.17220239406624072</v>
      </c>
      <c r="F4" s="46">
        <f>'Horizontal anaylsis'!F3</f>
        <v>7.8425598989592782E-2</v>
      </c>
      <c r="G4" s="1"/>
      <c r="H4" s="1"/>
      <c r="I4" s="1"/>
      <c r="J4" s="1"/>
      <c r="K4" s="1"/>
      <c r="L4" s="1"/>
      <c r="M4" s="1"/>
      <c r="N4" s="1"/>
      <c r="O4" s="1"/>
    </row>
    <row r="5" spans="2:15" ht="15" customHeight="1" thickBot="1" x14ac:dyDescent="0.35">
      <c r="B5" s="18" t="s">
        <v>63</v>
      </c>
      <c r="C5" s="25"/>
      <c r="D5" s="46">
        <f>'Horizontal anaylsis'!D16</f>
        <v>0.36037306556853022</v>
      </c>
      <c r="E5" s="46">
        <f>'Horizontal anaylsis'!E16</f>
        <v>5.3036795399883818E-2</v>
      </c>
      <c r="F5" s="46">
        <f>'Horizontal anaylsis'!F16</f>
        <v>-3.2225037081763608E-2</v>
      </c>
      <c r="G5" s="1"/>
      <c r="H5" s="1"/>
      <c r="I5" s="1"/>
      <c r="J5" s="1"/>
      <c r="K5" s="1"/>
      <c r="L5" s="1"/>
      <c r="M5" s="1"/>
      <c r="N5" s="1"/>
      <c r="O5" s="1"/>
    </row>
    <row r="6" spans="2:15" ht="15" customHeight="1" thickBot="1" x14ac:dyDescent="0.35">
      <c r="B6" s="47" t="s">
        <v>64</v>
      </c>
      <c r="C6" s="48"/>
      <c r="D6" s="48"/>
      <c r="E6" s="48"/>
      <c r="F6" s="48"/>
      <c r="G6" s="1"/>
      <c r="H6" s="1"/>
      <c r="I6" s="1"/>
      <c r="J6" s="1"/>
      <c r="K6" s="1"/>
      <c r="L6" s="1"/>
      <c r="M6" s="1"/>
      <c r="N6" s="1"/>
      <c r="O6" s="1"/>
    </row>
    <row r="7" spans="2:15" ht="15" customHeight="1" x14ac:dyDescent="0.3">
      <c r="B7" s="18" t="s">
        <v>65</v>
      </c>
      <c r="C7" s="49">
        <f>('Finacial Anaylsis'!C7-'Finacial Anaylsis'!C10)/'Finacial Anaylsis'!C7</f>
        <v>0.3278924794665648</v>
      </c>
      <c r="D7" s="49">
        <f>('Finacial Anaylsis'!D7-'Finacial Anaylsis'!D10)/'Finacial Anaylsis'!D7</f>
        <v>0.31347286480135123</v>
      </c>
      <c r="E7" s="49">
        <f>('Finacial Anaylsis'!E7-'Finacial Anaylsis'!E10)/'Finacial Anaylsis'!E7</f>
        <v>0.31103228441762498</v>
      </c>
      <c r="F7" s="49">
        <f>('Finacial Anaylsis'!F7-'Finacial Anaylsis'!F10)/'Finacial Anaylsis'!F7</f>
        <v>0.29981468249127147</v>
      </c>
      <c r="G7" s="1"/>
      <c r="H7" s="1"/>
      <c r="I7" s="1"/>
      <c r="J7" s="1"/>
      <c r="K7" s="1"/>
      <c r="L7" s="1"/>
      <c r="M7" s="1"/>
      <c r="N7" s="1"/>
      <c r="O7" s="1"/>
    </row>
    <row r="8" spans="2:15" ht="15" customHeight="1" x14ac:dyDescent="0.3">
      <c r="B8" s="18" t="s">
        <v>66</v>
      </c>
      <c r="C8" s="49">
        <f>'Vertical Anaylsis'!C11</f>
        <v>0.153301845838615</v>
      </c>
      <c r="D8" s="49">
        <f>'Vertical Anaylsis'!D11</f>
        <v>0.15061320408313139</v>
      </c>
      <c r="E8" s="49">
        <f>'Vertical Anaylsis'!E11</f>
        <v>0.14991091274962598</v>
      </c>
      <c r="F8" s="49">
        <f>'Vertical Anaylsis'!F11</f>
        <v>0.12642372064111726</v>
      </c>
      <c r="G8" s="1"/>
      <c r="H8" s="1"/>
      <c r="I8" s="1"/>
      <c r="J8" s="1"/>
      <c r="K8" s="1"/>
      <c r="L8" s="1"/>
      <c r="M8" s="1"/>
      <c r="N8" s="1"/>
      <c r="O8" s="1"/>
    </row>
    <row r="9" spans="2:15" ht="15" customHeight="1" x14ac:dyDescent="0.3">
      <c r="B9" s="18" t="s">
        <v>67</v>
      </c>
      <c r="C9" s="49">
        <f>'Vertical Anaylsis'!C13</f>
        <v>0.10430290506867632</v>
      </c>
      <c r="D9" s="49">
        <f>'Vertical Anaylsis'!D13</f>
        <v>0.1123683630755673</v>
      </c>
      <c r="E9" s="49">
        <f>'Vertical Anaylsis'!E13</f>
        <v>0.11533102616984967</v>
      </c>
      <c r="F9" s="49">
        <f>'Vertical Anaylsis'!F13</f>
        <v>9.1326094912772965E-2</v>
      </c>
      <c r="G9" s="1"/>
      <c r="H9" s="1"/>
      <c r="I9" s="1"/>
      <c r="J9" s="1"/>
      <c r="K9" s="1"/>
      <c r="L9" s="1"/>
      <c r="M9" s="1"/>
      <c r="N9" s="1"/>
      <c r="O9" s="1"/>
    </row>
    <row r="10" spans="2:15" ht="15" customHeight="1" x14ac:dyDescent="0.3">
      <c r="B10" s="18" t="s">
        <v>68</v>
      </c>
      <c r="C10" s="50">
        <f>'Vertical Anaylsis'!C17</f>
        <v>9.234576047509073E-2</v>
      </c>
      <c r="D10" s="50">
        <f>'Vertical Anaylsis'!D17</f>
        <v>0.10625835352867739</v>
      </c>
      <c r="E10" s="50">
        <f>'Vertical Anaylsis'!E17</f>
        <v>9.5456174335353985E-2</v>
      </c>
      <c r="F10" s="50">
        <f>'Vertical Anaylsis'!F17</f>
        <v>8.5662001777653846E-2</v>
      </c>
      <c r="G10" s="1"/>
      <c r="H10" s="1"/>
      <c r="I10" s="1"/>
      <c r="J10" s="1"/>
      <c r="K10" s="1"/>
      <c r="L10" s="1"/>
      <c r="M10" s="1"/>
      <c r="N10" s="1"/>
      <c r="O10" s="1"/>
    </row>
    <row r="11" spans="2:15" ht="15" customHeight="1" x14ac:dyDescent="0.3">
      <c r="B11" s="18" t="s">
        <v>69</v>
      </c>
      <c r="C11" s="49">
        <f>'Finacial Anaylsis'!C20/AVERAGE('Finacial Anaylsis'!C40)</f>
        <v>0.12447133444898245</v>
      </c>
      <c r="D11" s="49">
        <f>'Finacial Anaylsis'!D20/AVERAGE('Finacial Anaylsis'!D40)</f>
        <v>0.13923268636752917</v>
      </c>
      <c r="E11" s="49">
        <f>'Finacial Anaylsis'!E20/AVERAGE('Finacial Anaylsis'!E40)</f>
        <v>0.12644817123774241</v>
      </c>
      <c r="F11" s="49">
        <f>'Finacial Anaylsis'!F20/AVERAGE('Finacial Anaylsis'!F40)</f>
        <v>0.11525636756726336</v>
      </c>
      <c r="G11" s="1"/>
      <c r="H11" s="1"/>
      <c r="I11" s="1"/>
      <c r="J11" s="1"/>
      <c r="K11" s="1"/>
      <c r="L11" s="1"/>
      <c r="M11" s="1"/>
      <c r="N11" s="1"/>
      <c r="O11" s="1"/>
    </row>
    <row r="12" spans="2:15" ht="15" customHeight="1" thickBot="1" x14ac:dyDescent="0.35">
      <c r="B12" s="18" t="s">
        <v>70</v>
      </c>
      <c r="C12" s="49">
        <f>'Finacial Anaylsis'!C20/AVERAGE('Finacial Anaylsis'!C24)</f>
        <v>0.17362163079816131</v>
      </c>
      <c r="D12" s="49">
        <f>'Finacial Anaylsis'!D20/AVERAGE('Finacial Anaylsis'!D24)</f>
        <v>0.19505264151197746</v>
      </c>
      <c r="E12" s="49">
        <f>'Finacial Anaylsis'!E20/AVERAGE('Finacial Anaylsis'!E24)</f>
        <v>0.17893624267477776</v>
      </c>
      <c r="F12" s="49">
        <f>'Finacial Anaylsis'!F20/AVERAGE('Finacial Anaylsis'!F24)</f>
        <v>0.15650280090936686</v>
      </c>
      <c r="G12" s="1"/>
      <c r="H12" s="1"/>
      <c r="I12" s="1"/>
      <c r="J12" s="1"/>
      <c r="K12" s="1"/>
      <c r="L12" s="1"/>
      <c r="M12" s="1"/>
      <c r="N12" s="1"/>
      <c r="O12" s="1"/>
    </row>
    <row r="13" spans="2:15" ht="15" customHeight="1" thickBot="1" x14ac:dyDescent="0.35">
      <c r="B13" s="47" t="s">
        <v>71</v>
      </c>
      <c r="C13" s="48"/>
      <c r="D13" s="48"/>
      <c r="E13" s="48"/>
      <c r="F13" s="48"/>
      <c r="G13" s="1"/>
      <c r="H13" s="1"/>
      <c r="I13" s="1"/>
      <c r="J13" s="1"/>
      <c r="K13" s="1"/>
      <c r="L13" s="1"/>
      <c r="M13" s="1"/>
      <c r="N13" s="1"/>
      <c r="O13" s="1"/>
    </row>
    <row r="14" spans="2:15" ht="15" customHeight="1" x14ac:dyDescent="0.3">
      <c r="B14" s="18" t="s">
        <v>72</v>
      </c>
      <c r="C14" s="51">
        <f>'Finacial Anaylsis'!C7/AVERAGE('Finacial Anaylsis'!C40)</f>
        <v>1.3478835824039508</v>
      </c>
      <c r="D14" s="51">
        <f>'Finacial Anaylsis'!D7/AVERAGE('Finacial Anaylsis'!D40)</f>
        <v>1.3103222640274823</v>
      </c>
      <c r="E14" s="51">
        <f>'Finacial Anaylsis'!E7/AVERAGE('Finacial Anaylsis'!E40)</f>
        <v>1.324672522423832</v>
      </c>
      <c r="F14" s="51">
        <f>'Finacial Anaylsis'!F7/AVERAGE('Finacial Anaylsis'!F40)</f>
        <v>1.3454783354984547</v>
      </c>
      <c r="G14" s="1"/>
      <c r="H14" s="1"/>
      <c r="I14" s="1"/>
      <c r="J14" s="1"/>
      <c r="K14" s="1"/>
      <c r="L14" s="1"/>
      <c r="M14" s="1"/>
      <c r="N14" s="1"/>
      <c r="O14" s="1"/>
    </row>
    <row r="15" spans="2:15" ht="15" customHeight="1" x14ac:dyDescent="0.3">
      <c r="B15" s="18" t="s">
        <v>73</v>
      </c>
      <c r="C15" s="51">
        <f>'Finacial Anaylsis'!C10/AVERAGE('Finacial Anaylsis'!C51)</f>
        <v>12.355870522888335</v>
      </c>
      <c r="D15" s="51">
        <f>'Finacial Anaylsis'!D10/AVERAGE('Finacial Anaylsis'!D51)</f>
        <v>14.321843306676472</v>
      </c>
      <c r="E15" s="51">
        <f>'Finacial Anaylsis'!E10/AVERAGE('Finacial Anaylsis'!E51)</f>
        <v>17.399563318777293</v>
      </c>
      <c r="F15" s="51">
        <f>'Finacial Anaylsis'!F10/AVERAGE('Finacial Anaylsis'!F51)</f>
        <v>18.137572985011737</v>
      </c>
      <c r="G15" s="1"/>
      <c r="H15" s="1"/>
      <c r="I15" s="1"/>
      <c r="J15" s="1"/>
      <c r="K15" s="1"/>
      <c r="L15" s="1"/>
      <c r="M15" s="1"/>
      <c r="N15" s="1"/>
      <c r="O15" s="1"/>
    </row>
    <row r="16" spans="2:15" ht="15" customHeight="1" x14ac:dyDescent="0.3">
      <c r="B16" s="18" t="s">
        <v>74</v>
      </c>
      <c r="C16" s="51">
        <f>'Finacial Anaylsis'!C7/AVERAGE('Finacial Anaylsis'!C52)</f>
        <v>43.515943781169717</v>
      </c>
      <c r="D16" s="51">
        <f>'Finacial Anaylsis'!D7/AVERAGE('Finacial Anaylsis'!D52)</f>
        <v>56.614834525195413</v>
      </c>
      <c r="E16" s="51">
        <f>'Finacial Anaylsis'!E7/AVERAGE('Finacial Anaylsis'!E52)</f>
        <v>54.462535826395523</v>
      </c>
      <c r="F16" s="51">
        <f>'Finacial Anaylsis'!F7/AVERAGE('Finacial Anaylsis'!F52)</f>
        <v>37.21398305084746</v>
      </c>
      <c r="G16" s="1"/>
      <c r="H16" s="1"/>
      <c r="I16" s="1"/>
      <c r="J16" s="1"/>
      <c r="K16" s="1"/>
      <c r="L16" s="1"/>
      <c r="M16" s="1"/>
      <c r="N16" s="1"/>
      <c r="O16" s="1"/>
    </row>
    <row r="17" spans="2:15" ht="15" customHeight="1" thickBot="1" x14ac:dyDescent="0.35">
      <c r="B17" s="18" t="s">
        <v>75</v>
      </c>
      <c r="C17" s="51">
        <f>'Finacial Anaylsis'!C10/AVERAGE('Finacial Anaylsis'!C36)</f>
        <v>5.2242573121516012</v>
      </c>
      <c r="D17" s="51">
        <f>'Finacial Anaylsis'!D10/AVERAGE('Finacial Anaylsis'!D36)</f>
        <v>5.5850260478898823</v>
      </c>
      <c r="E17" s="51">
        <f>'Finacial Anaylsis'!E10/AVERAGE('Finacial Anaylsis'!E36)</f>
        <v>5.2371205699427579</v>
      </c>
      <c r="F17" s="51">
        <f>'Finacial Anaylsis'!F10/AVERAGE('Finacial Anaylsis'!F36)</f>
        <v>6.2529337912572505</v>
      </c>
      <c r="G17" s="1"/>
      <c r="H17" s="1"/>
      <c r="I17" s="1"/>
      <c r="J17" s="1"/>
      <c r="K17" s="1"/>
      <c r="L17" s="1"/>
      <c r="M17" s="1"/>
      <c r="N17" s="1"/>
      <c r="O17" s="1"/>
    </row>
    <row r="18" spans="2:15" ht="15" customHeight="1" thickBot="1" x14ac:dyDescent="0.35">
      <c r="B18" s="47" t="s">
        <v>76</v>
      </c>
      <c r="C18" s="48"/>
      <c r="D18" s="48"/>
      <c r="E18" s="48"/>
      <c r="F18" s="48"/>
      <c r="G18" s="1"/>
      <c r="H18" s="1"/>
      <c r="I18" s="1"/>
      <c r="J18" s="1"/>
      <c r="K18" s="1"/>
      <c r="L18" s="1"/>
      <c r="M18" s="1"/>
      <c r="N18" s="1"/>
      <c r="O18" s="1"/>
    </row>
    <row r="19" spans="2:15" ht="15" customHeight="1" x14ac:dyDescent="0.3">
      <c r="B19" s="18" t="s">
        <v>77</v>
      </c>
      <c r="C19" s="52">
        <f>SUM('Finacial Anaylsis'!C52:C53,'Finacial Anaylsis'!C57)/SUM('Finacial Anaylsis'!C34:C39)</f>
        <v>0.22775961825771227</v>
      </c>
      <c r="D19" s="52">
        <f>SUM('Finacial Anaylsis'!D52:D53,'Finacial Anaylsis'!D57)/SUM('Finacial Anaylsis'!D34:D39)</f>
        <v>0.25722984407107458</v>
      </c>
      <c r="E19" s="52">
        <f>SUM('Finacial Anaylsis'!E52:E53,'Finacial Anaylsis'!E57)/SUM('Finacial Anaylsis'!E34:E39)</f>
        <v>0.17844450917564811</v>
      </c>
      <c r="F19" s="52">
        <f>SUM('Finacial Anaylsis'!F52:F53,'Finacial Anaylsis'!F57)/SUM('Finacial Anaylsis'!F34:F39)</f>
        <v>0.53289784965220155</v>
      </c>
      <c r="G19" s="1"/>
      <c r="H19" s="1"/>
      <c r="I19" s="1"/>
      <c r="J19" s="1"/>
      <c r="K19" s="1"/>
      <c r="L19" s="1"/>
      <c r="M19" s="1"/>
      <c r="N19" s="1"/>
      <c r="O19" s="1"/>
    </row>
    <row r="20" spans="2:15" ht="15" customHeight="1" x14ac:dyDescent="0.3">
      <c r="B20" s="18" t="s">
        <v>78</v>
      </c>
      <c r="C20" s="52">
        <f>SUM('Finacial Anaylsis'!C51:C58)/SUM('Finacial Anaylsis'!C34:C39)</f>
        <v>0.71994096395360418</v>
      </c>
      <c r="D20" s="52">
        <f>SUM('Finacial Anaylsis'!D51:D58)/SUM('Finacial Anaylsis'!D34:D39)</f>
        <v>0.66466215399492323</v>
      </c>
      <c r="E20" s="52">
        <f>SUM('Finacial Anaylsis'!E51:E58)/SUM('Finacial Anaylsis'!E34:E39)</f>
        <v>0.51331844515648772</v>
      </c>
      <c r="F20" s="52">
        <f>SUM('Finacial Anaylsis'!F51:F58)/SUM('Finacial Anaylsis'!F34:F39)</f>
        <v>0.87374739592528516</v>
      </c>
      <c r="G20" s="1"/>
      <c r="H20" s="1"/>
      <c r="I20" s="1"/>
      <c r="J20" s="1"/>
      <c r="K20" s="1"/>
      <c r="L20" s="1"/>
      <c r="M20" s="1"/>
      <c r="N20" s="1"/>
      <c r="O20" s="1"/>
    </row>
    <row r="21" spans="2:15" ht="15" customHeight="1" thickBot="1" x14ac:dyDescent="0.35">
      <c r="B21" s="18" t="s">
        <v>79</v>
      </c>
      <c r="C21" s="25"/>
      <c r="D21" s="25"/>
      <c r="E21" s="25"/>
      <c r="F21" s="25"/>
      <c r="G21" s="1"/>
      <c r="H21" s="1"/>
      <c r="I21" s="1"/>
      <c r="J21" s="1"/>
      <c r="K21" s="1"/>
      <c r="L21" s="1"/>
      <c r="M21" s="1"/>
      <c r="N21" s="1"/>
      <c r="O21" s="1"/>
    </row>
    <row r="22" spans="2:15" ht="15" customHeight="1" thickBot="1" x14ac:dyDescent="0.35">
      <c r="B22" s="47" t="s">
        <v>80</v>
      </c>
      <c r="C22" s="48"/>
      <c r="D22" s="48"/>
      <c r="E22" s="48"/>
      <c r="F22" s="48"/>
      <c r="G22" s="1"/>
      <c r="H22" s="1"/>
      <c r="I22" s="1"/>
      <c r="J22" s="1"/>
      <c r="K22" s="1"/>
      <c r="L22" s="1"/>
      <c r="M22" s="1"/>
      <c r="N22" s="1"/>
      <c r="O22" s="1"/>
    </row>
    <row r="23" spans="2:15" ht="15" customHeight="1" x14ac:dyDescent="0.3">
      <c r="B23" s="18" t="s">
        <v>81</v>
      </c>
      <c r="C23" s="52">
        <f>'Finacial Anaylsis'!C40/'Finacial Anaylsis'!C24</f>
        <v>1.3948724143334725</v>
      </c>
      <c r="D23" s="52">
        <f>'Finacial Anaylsis'!D40/'Finacial Anaylsis'!D24</f>
        <v>1.4009112845607365</v>
      </c>
      <c r="E23" s="52">
        <f>'Finacial Anaylsis'!E40/'Finacial Anaylsis'!E24</f>
        <v>1.4150955361651654</v>
      </c>
      <c r="F23" s="52">
        <f>'Finacial Anaylsis'!F40/'Finacial Anaylsis'!F24</f>
        <v>1.3578668512004959</v>
      </c>
      <c r="G23" s="1"/>
      <c r="H23" s="1"/>
      <c r="I23" s="1"/>
      <c r="J23" s="1"/>
      <c r="K23" s="1"/>
      <c r="L23" s="1"/>
      <c r="M23" s="1"/>
      <c r="N23" s="1"/>
      <c r="O23" s="1"/>
    </row>
    <row r="24" spans="2:15" ht="15" customHeight="1" x14ac:dyDescent="0.3">
      <c r="B24" s="18" t="s">
        <v>82</v>
      </c>
      <c r="C24" s="52">
        <f>'Finacial Anaylsis'!C29+'Finacial Anaylsis'!C35/'Finacial Anaylsis'!C24</f>
        <v>2.5269013790221481E-3</v>
      </c>
      <c r="D24" s="52">
        <f>'Finacial Anaylsis'!D29+'Finacial Anaylsis'!D35/'Finacial Anaylsis'!D24</f>
        <v>1.3038379099769484E-2</v>
      </c>
      <c r="E24" s="52">
        <f>'Finacial Anaylsis'!E29+'Finacial Anaylsis'!E35/'Finacial Anaylsis'!E24</f>
        <v>100.0026024356731</v>
      </c>
      <c r="F24" s="52">
        <f>'Finacial Anaylsis'!F29+'Finacial Anaylsis'!F35/'Finacial Anaylsis'!F24</f>
        <v>80.003175566815329</v>
      </c>
      <c r="G24" s="1"/>
      <c r="H24" s="1"/>
      <c r="I24" s="1"/>
      <c r="J24" s="1"/>
      <c r="K24" s="1"/>
      <c r="L24" s="1"/>
      <c r="M24" s="1"/>
      <c r="N24" s="1"/>
      <c r="O24" s="1"/>
    </row>
    <row r="25" spans="2:15" ht="15" customHeight="1" x14ac:dyDescent="0.3">
      <c r="B25" s="18" t="s">
        <v>83</v>
      </c>
      <c r="C25" s="52">
        <f>'Finacial Anaylsis'!C16/'Finacial Anaylsis'!C17</f>
        <v>73.52141982864137</v>
      </c>
      <c r="D25" s="52">
        <f>'Finacial Anaylsis'!D16/'Finacial Anaylsis'!D17</f>
        <v>85.577181208053688</v>
      </c>
      <c r="E25" s="52">
        <f>'Finacial Anaylsis'!E16/'Finacial Anaylsis'!E17</f>
        <v>26.617987275882012</v>
      </c>
      <c r="F25" s="52">
        <f>'Finacial Anaylsis'!F16/'Finacial Anaylsis'!F17</f>
        <v>103.56126482213439</v>
      </c>
      <c r="G25" s="1"/>
      <c r="H25" s="1"/>
      <c r="I25" s="1"/>
      <c r="J25" s="1"/>
      <c r="K25" s="1"/>
      <c r="L25" s="1"/>
      <c r="M25" s="1"/>
      <c r="N25" s="1"/>
      <c r="O25" s="1"/>
    </row>
  </sheetData>
  <pageMargins left="0.7" right="0.7" top="0.75" bottom="0.75" header="0.3" footer="0.3"/>
  <ignoredErrors>
    <ignoredError sqref="C20:F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Finacial Anaylsis</vt:lpstr>
      <vt:lpstr>Vertical Anaylsis</vt:lpstr>
      <vt:lpstr>Horizontal anaylsis</vt:lpstr>
      <vt:lpstr>Ratio Anaylsis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Gujarathi</dc:creator>
  <cp:lastModifiedBy>Poojitha Gujarathi</cp:lastModifiedBy>
  <dcterms:created xsi:type="dcterms:W3CDTF">2026-02-11T01:45:29Z</dcterms:created>
  <dcterms:modified xsi:type="dcterms:W3CDTF">2026-02-23T03:20:24Z</dcterms:modified>
</cp:coreProperties>
</file>