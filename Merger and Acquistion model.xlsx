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gesh MS\"/>
    </mc:Choice>
  </mc:AlternateContent>
  <xr:revisionPtr revIDLastSave="0" documentId="13_ncr:1_{A312BEBE-71A0-4B6E-A08A-5E0FA0E84F3F}" xr6:coauthVersionLast="47" xr6:coauthVersionMax="47" xr10:uidLastSave="{00000000-0000-0000-0000-000000000000}"/>
  <bookViews>
    <workbookView xWindow="-108" yWindow="-108" windowWidth="23256" windowHeight="12456" xr2:uid="{AD53B17A-7506-4C9A-8B99-181BEE648D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9" i="1" l="1"/>
  <c r="C58" i="1"/>
  <c r="C57" i="1"/>
  <c r="C53" i="1"/>
  <c r="C52" i="1"/>
  <c r="C51" i="1"/>
  <c r="C48" i="1"/>
  <c r="C47" i="1"/>
  <c r="C46" i="1"/>
  <c r="C37" i="1"/>
  <c r="C45" i="1"/>
  <c r="C44" i="1"/>
  <c r="C40" i="1"/>
  <c r="C39" i="1"/>
  <c r="C38" i="1"/>
  <c r="C41" i="1" s="1"/>
  <c r="C36" i="1"/>
</calcChain>
</file>

<file path=xl/sharedStrings.xml><?xml version="1.0" encoding="utf-8"?>
<sst xmlns="http://schemas.openxmlformats.org/spreadsheetml/2006/main" count="46" uniqueCount="42">
  <si>
    <t>M&amp;A Accretion/Dilution Model</t>
  </si>
  <si>
    <t>Financial Modelling Course</t>
  </si>
  <si>
    <t>KEY ASSUMPTIONS</t>
  </si>
  <si>
    <t>Financial Inputs</t>
  </si>
  <si>
    <t>Acquirer (Buyer)</t>
  </si>
  <si>
    <t>Current Share Price ($)</t>
  </si>
  <si>
    <t>$40.00</t>
  </si>
  <si>
    <t>Shares Outstanding (millions)</t>
  </si>
  <si>
    <t>Net Income ($ millions)</t>
  </si>
  <si>
    <t>Tax Rate (%)</t>
  </si>
  <si>
    <t>Cost of Debt (%)</t>
  </si>
  <si>
    <t>Target (Seller)</t>
  </si>
  <si>
    <t>$20.00</t>
  </si>
  <si>
    <t>Transaction Assumptions</t>
  </si>
  <si>
    <t>Target Premium (%)</t>
  </si>
  <si>
    <t>Cash Consideration (%)</t>
  </si>
  <si>
    <t>Stock Consideration (%)</t>
  </si>
  <si>
    <t>Debt Consideration (%)</t>
  </si>
  <si>
    <t>Pre-Tax Synergies ($ millions)</t>
  </si>
  <si>
    <t>Transaction Fees ($ millions)</t>
  </si>
  <si>
    <t>TRANSACTION &amp; PROFORMA CALCULATIONS</t>
  </si>
  <si>
    <t>A. Purchase Price &amp; Financing</t>
  </si>
  <si>
    <t>Purchase Price per Share ($)</t>
  </si>
  <si>
    <t>Total Equity Value (Purchase Price) ($ millions)</t>
  </si>
  <si>
    <t>Cash Required ($ millions)</t>
  </si>
  <si>
    <t>Stock Required ($ millions)</t>
  </si>
  <si>
    <t>Debt Required ($ millions)</t>
  </si>
  <si>
    <t>Total Consideration (Check)</t>
  </si>
  <si>
    <t>B. Proforma Net Income ($ millions)</t>
  </si>
  <si>
    <t>Acquirer Net Income</t>
  </si>
  <si>
    <t>Target Net Income</t>
  </si>
  <si>
    <t>Synergies (After-Tax)</t>
  </si>
  <si>
    <t>New Interest Expense (After-Tax)</t>
  </si>
  <si>
    <t>Proforma Net Income</t>
  </si>
  <si>
    <t>C. Proforma Shares Outstanding (millions)</t>
  </si>
  <si>
    <t>Acquirer Shares Outstanding</t>
  </si>
  <si>
    <t>New Shares Issued</t>
  </si>
  <si>
    <t>Proforma Shares Outstanding</t>
  </si>
  <si>
    <t>ACCRETION/DILUTION ANALYSIS</t>
  </si>
  <si>
    <t>Acquirer EPS (Standalone) ($)</t>
  </si>
  <si>
    <t>Proforma EPS ($)</t>
  </si>
  <si>
    <t>Accretion / (Dilution)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</si>
</sst>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.00.00"/>
    <numFmt numFmtId="172" formatCode="\$0.00"/>
  </numFmts>
  <fonts count="6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B05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Font="1"/>
    <xf numFmtId="0" fontId="0" fillId="2" borderId="0" xfId="0" applyFont="1" applyFill="1" applyAlignment="1">
      <alignment vertical="center" wrapText="1"/>
    </xf>
    <xf numFmtId="0" fontId="0" fillId="0" borderId="0" xfId="0" applyFont="1" applyAlignment="1">
      <alignment wrapText="1"/>
    </xf>
    <xf numFmtId="0" fontId="0" fillId="0" borderId="1" xfId="0" applyFont="1" applyBorder="1"/>
    <xf numFmtId="0" fontId="0" fillId="3" borderId="0" xfId="0" applyFont="1" applyFill="1" applyAlignment="1">
      <alignment wrapText="1"/>
    </xf>
    <xf numFmtId="0" fontId="0" fillId="3" borderId="0" xfId="0" applyFont="1" applyFill="1"/>
    <xf numFmtId="0" fontId="0" fillId="3" borderId="1" xfId="0" applyFont="1" applyFill="1" applyBorder="1" applyAlignment="1">
      <alignment wrapText="1"/>
    </xf>
    <xf numFmtId="0" fontId="0" fillId="3" borderId="1" xfId="0" applyFont="1" applyFill="1" applyBorder="1"/>
    <xf numFmtId="0" fontId="2" fillId="3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3" fillId="3" borderId="0" xfId="0" applyFont="1" applyFill="1" applyAlignment="1">
      <alignment horizontal="right" wrapText="1"/>
    </xf>
    <xf numFmtId="10" fontId="3" fillId="3" borderId="0" xfId="0" applyNumberFormat="1" applyFont="1" applyFill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3" fillId="3" borderId="0" xfId="0" applyFont="1" applyFill="1"/>
    <xf numFmtId="164" fontId="3" fillId="0" borderId="0" xfId="0" applyNumberFormat="1" applyFont="1"/>
    <xf numFmtId="165" fontId="3" fillId="0" borderId="0" xfId="0" applyNumberFormat="1" applyFont="1"/>
    <xf numFmtId="1" fontId="3" fillId="0" borderId="0" xfId="0" applyNumberFormat="1" applyFont="1"/>
    <xf numFmtId="0" fontId="3" fillId="0" borderId="0" xfId="0" applyFont="1"/>
    <xf numFmtId="1" fontId="2" fillId="0" borderId="0" xfId="0" applyNumberFormat="1" applyFont="1"/>
    <xf numFmtId="0" fontId="2" fillId="0" borderId="0" xfId="0" applyFont="1"/>
    <xf numFmtId="172" fontId="3" fillId="0" borderId="0" xfId="0" applyNumberFormat="1" applyFont="1"/>
    <xf numFmtId="10" fontId="3" fillId="0" borderId="0" xfId="0" applyNumberFormat="1" applyFont="1"/>
    <xf numFmtId="0" fontId="3" fillId="3" borderId="0" xfId="0" applyFont="1" applyFill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wrapText="1"/>
    </xf>
    <xf numFmtId="0" fontId="4" fillId="3" borderId="0" xfId="0" applyFont="1" applyFill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444B0-E29C-4806-BA06-44B21E911BBA}">
  <dimension ref="B2:O60"/>
  <sheetViews>
    <sheetView showGridLines="0" tabSelected="1" workbookViewId="0">
      <selection activeCell="B34" sqref="B34"/>
    </sheetView>
  </sheetViews>
  <sheetFormatPr defaultRowHeight="16.05" customHeight="1" x14ac:dyDescent="0.3"/>
  <cols>
    <col min="1" max="1" width="2.33203125" style="2" customWidth="1"/>
    <col min="2" max="2" width="60.109375" style="2" customWidth="1"/>
    <col min="3" max="3" width="27" style="2" customWidth="1"/>
    <col min="4" max="16384" width="8.88671875" style="2"/>
  </cols>
  <sheetData>
    <row r="2" spans="2:14" ht="36.6" customHeight="1" x14ac:dyDescent="0.3">
      <c r="B2" s="27" t="s">
        <v>0</v>
      </c>
    </row>
    <row r="3" spans="2:14" ht="27" customHeight="1" x14ac:dyDescent="0.3">
      <c r="B3" s="24" t="s">
        <v>1</v>
      </c>
    </row>
    <row r="4" spans="2:14" ht="16.05" customHeight="1" x14ac:dyDescent="0.3">
      <c r="B4" s="2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2:14" ht="16.05" customHeight="1" x14ac:dyDescent="0.3">
      <c r="B5" s="25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2:14" ht="16.05" customHeight="1" x14ac:dyDescent="0.3">
      <c r="B6" s="26"/>
    </row>
    <row r="7" spans="2:14" ht="36.6" customHeight="1" thickBot="1" x14ac:dyDescent="0.35">
      <c r="B7" s="28" t="s">
        <v>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</row>
    <row r="8" spans="2:14" ht="16.05" customHeight="1" thickTop="1" x14ac:dyDescent="0.3">
      <c r="B8" s="19"/>
    </row>
    <row r="9" spans="2:14" ht="16.05" customHeight="1" x14ac:dyDescent="0.3">
      <c r="B9" s="29" t="s">
        <v>3</v>
      </c>
      <c r="C9" s="6"/>
      <c r="D9" s="6"/>
      <c r="E9" s="7"/>
      <c r="F9" s="7"/>
    </row>
    <row r="10" spans="2:14" ht="16.05" customHeight="1" x14ac:dyDescent="0.3">
      <c r="B10" s="6"/>
      <c r="C10" s="6"/>
      <c r="D10" s="6"/>
      <c r="E10" s="7"/>
      <c r="F10" s="7"/>
    </row>
    <row r="11" spans="2:14" ht="16.05" customHeight="1" x14ac:dyDescent="0.3">
      <c r="B11" s="10" t="s">
        <v>4</v>
      </c>
      <c r="C11" s="11"/>
      <c r="D11" s="6"/>
      <c r="E11" s="7"/>
      <c r="F11" s="7"/>
    </row>
    <row r="12" spans="2:14" ht="16.05" customHeight="1" x14ac:dyDescent="0.3">
      <c r="B12" s="11" t="s">
        <v>5</v>
      </c>
      <c r="C12" s="12" t="s">
        <v>6</v>
      </c>
      <c r="D12" s="6"/>
      <c r="E12" s="7"/>
      <c r="F12" s="7"/>
    </row>
    <row r="13" spans="2:14" ht="16.05" customHeight="1" x14ac:dyDescent="0.3">
      <c r="B13" s="11" t="s">
        <v>7</v>
      </c>
      <c r="C13" s="12">
        <v>100</v>
      </c>
      <c r="D13" s="6"/>
      <c r="E13" s="7"/>
      <c r="F13" s="7"/>
    </row>
    <row r="14" spans="2:14" ht="16.05" customHeight="1" x14ac:dyDescent="0.3">
      <c r="B14" s="11" t="s">
        <v>8</v>
      </c>
      <c r="C14" s="12">
        <v>500</v>
      </c>
      <c r="D14" s="6"/>
      <c r="E14" s="7"/>
      <c r="F14" s="7"/>
    </row>
    <row r="15" spans="2:14" ht="16.05" customHeight="1" x14ac:dyDescent="0.3">
      <c r="B15" s="11" t="s">
        <v>9</v>
      </c>
      <c r="C15" s="13">
        <v>0.25</v>
      </c>
      <c r="D15" s="6"/>
      <c r="E15" s="7"/>
      <c r="F15" s="7"/>
    </row>
    <row r="16" spans="2:14" ht="16.05" customHeight="1" x14ac:dyDescent="0.3">
      <c r="B16" s="11" t="s">
        <v>10</v>
      </c>
      <c r="C16" s="13">
        <v>0.05</v>
      </c>
      <c r="D16" s="6"/>
      <c r="E16" s="7"/>
      <c r="F16" s="7"/>
    </row>
    <row r="17" spans="2:6" ht="16.05" customHeight="1" x14ac:dyDescent="0.3">
      <c r="B17" s="11"/>
      <c r="C17" s="11"/>
      <c r="D17" s="6"/>
      <c r="E17" s="7"/>
      <c r="F17" s="7"/>
    </row>
    <row r="18" spans="2:6" ht="16.05" customHeight="1" x14ac:dyDescent="0.3">
      <c r="B18" s="10" t="s">
        <v>11</v>
      </c>
      <c r="C18" s="11"/>
      <c r="D18" s="6"/>
      <c r="E18" s="7"/>
      <c r="F18" s="7"/>
    </row>
    <row r="19" spans="2:6" ht="16.05" customHeight="1" x14ac:dyDescent="0.3">
      <c r="B19" s="11" t="s">
        <v>5</v>
      </c>
      <c r="C19" s="12" t="s">
        <v>12</v>
      </c>
      <c r="D19" s="6"/>
      <c r="E19" s="7"/>
      <c r="F19" s="7"/>
    </row>
    <row r="20" spans="2:6" ht="16.05" customHeight="1" x14ac:dyDescent="0.3">
      <c r="B20" s="11" t="s">
        <v>7</v>
      </c>
      <c r="C20" s="12">
        <v>40</v>
      </c>
      <c r="D20" s="6"/>
      <c r="E20" s="7"/>
      <c r="F20" s="7"/>
    </row>
    <row r="21" spans="2:6" ht="16.05" customHeight="1" x14ac:dyDescent="0.3">
      <c r="B21" s="11" t="s">
        <v>8</v>
      </c>
      <c r="C21" s="12">
        <v>100</v>
      </c>
      <c r="D21" s="6"/>
      <c r="E21" s="7"/>
      <c r="F21" s="7"/>
    </row>
    <row r="22" spans="2:6" ht="16.05" customHeight="1" x14ac:dyDescent="0.3">
      <c r="B22" s="11" t="s">
        <v>9</v>
      </c>
      <c r="C22" s="13">
        <v>0.2</v>
      </c>
      <c r="D22" s="6"/>
      <c r="E22" s="7"/>
      <c r="F22" s="7"/>
    </row>
    <row r="23" spans="2:6" ht="16.05" customHeight="1" x14ac:dyDescent="0.3">
      <c r="B23" s="11"/>
      <c r="C23" s="11"/>
      <c r="D23" s="6"/>
      <c r="E23" s="7"/>
      <c r="F23" s="7"/>
    </row>
    <row r="24" spans="2:6" ht="16.05" customHeight="1" x14ac:dyDescent="0.3">
      <c r="B24" s="30" t="s">
        <v>13</v>
      </c>
      <c r="C24" s="11"/>
      <c r="D24" s="6"/>
      <c r="E24" s="7"/>
      <c r="F24" s="7"/>
    </row>
    <row r="25" spans="2:6" ht="16.05" customHeight="1" x14ac:dyDescent="0.3">
      <c r="B25" s="11"/>
      <c r="C25" s="11"/>
      <c r="D25" s="6"/>
      <c r="E25" s="7"/>
      <c r="F25" s="7"/>
    </row>
    <row r="26" spans="2:6" ht="16.05" customHeight="1" x14ac:dyDescent="0.3">
      <c r="B26" s="11" t="s">
        <v>14</v>
      </c>
      <c r="C26" s="13">
        <v>0.3</v>
      </c>
      <c r="D26" s="6"/>
      <c r="E26" s="7"/>
      <c r="F26" s="7"/>
    </row>
    <row r="27" spans="2:6" ht="16.05" customHeight="1" x14ac:dyDescent="0.3">
      <c r="B27" s="11" t="s">
        <v>15</v>
      </c>
      <c r="C27" s="13">
        <v>0.2</v>
      </c>
      <c r="D27" s="6"/>
      <c r="E27" s="7"/>
      <c r="F27" s="7"/>
    </row>
    <row r="28" spans="2:6" ht="16.05" customHeight="1" x14ac:dyDescent="0.3">
      <c r="B28" s="11" t="s">
        <v>16</v>
      </c>
      <c r="C28" s="13">
        <v>0.5</v>
      </c>
      <c r="D28" s="6"/>
      <c r="E28" s="7"/>
      <c r="F28" s="7"/>
    </row>
    <row r="29" spans="2:6" ht="16.05" customHeight="1" x14ac:dyDescent="0.3">
      <c r="B29" s="11" t="s">
        <v>17</v>
      </c>
      <c r="C29" s="13">
        <v>0.3</v>
      </c>
      <c r="D29" s="6"/>
      <c r="E29" s="7"/>
      <c r="F29" s="7"/>
    </row>
    <row r="30" spans="2:6" ht="16.05" customHeight="1" x14ac:dyDescent="0.3">
      <c r="B30" s="11" t="s">
        <v>18</v>
      </c>
      <c r="C30" s="12">
        <v>50</v>
      </c>
      <c r="D30" s="6"/>
      <c r="E30" s="7"/>
      <c r="F30" s="7"/>
    </row>
    <row r="31" spans="2:6" ht="16.05" customHeight="1" x14ac:dyDescent="0.3">
      <c r="B31" s="11" t="s">
        <v>19</v>
      </c>
      <c r="C31" s="12">
        <v>5</v>
      </c>
      <c r="D31" s="6"/>
      <c r="E31" s="7"/>
      <c r="F31" s="7"/>
    </row>
    <row r="32" spans="2:6" ht="15.6" customHeight="1" x14ac:dyDescent="0.3">
      <c r="B32" s="11"/>
      <c r="C32" s="11"/>
      <c r="D32" s="6"/>
      <c r="E32" s="7"/>
      <c r="F32" s="7"/>
    </row>
    <row r="33" spans="2:15" ht="35.4" customHeight="1" thickBot="1" x14ac:dyDescent="0.35">
      <c r="B33" s="31" t="s">
        <v>20</v>
      </c>
      <c r="C33" s="14"/>
      <c r="D33" s="8"/>
      <c r="E33" s="9"/>
      <c r="F33" s="9"/>
      <c r="G33" s="5"/>
      <c r="H33" s="5"/>
      <c r="I33" s="5"/>
      <c r="J33" s="5"/>
      <c r="K33" s="5"/>
      <c r="L33" s="5"/>
      <c r="M33" s="5"/>
      <c r="N33" s="5"/>
      <c r="O33" s="5"/>
    </row>
    <row r="34" spans="2:15" ht="16.05" customHeight="1" thickTop="1" x14ac:dyDescent="0.3">
      <c r="B34" s="15"/>
      <c r="C34" s="15"/>
      <c r="D34" s="7"/>
      <c r="E34" s="7"/>
      <c r="F34" s="7"/>
    </row>
    <row r="35" spans="2:15" ht="16.05" customHeight="1" x14ac:dyDescent="0.3">
      <c r="B35" s="10" t="s">
        <v>21</v>
      </c>
      <c r="C35" s="16"/>
      <c r="E35" s="1"/>
    </row>
    <row r="36" spans="2:15" ht="16.05" customHeight="1" x14ac:dyDescent="0.3">
      <c r="B36" s="11" t="s">
        <v>22</v>
      </c>
      <c r="C36" s="17">
        <f>C22*(1+C26)</f>
        <v>0.26</v>
      </c>
    </row>
    <row r="37" spans="2:15" ht="16.05" customHeight="1" x14ac:dyDescent="0.3">
      <c r="B37" s="11" t="s">
        <v>23</v>
      </c>
      <c r="C37" s="18">
        <f>C36*C20*100</f>
        <v>1040</v>
      </c>
    </row>
    <row r="38" spans="2:15" ht="16.05" customHeight="1" x14ac:dyDescent="0.3">
      <c r="B38" s="11" t="s">
        <v>24</v>
      </c>
      <c r="C38" s="18">
        <f>C37*C27</f>
        <v>208</v>
      </c>
    </row>
    <row r="39" spans="2:15" ht="16.05" customHeight="1" x14ac:dyDescent="0.3">
      <c r="B39" s="11" t="s">
        <v>25</v>
      </c>
      <c r="C39" s="18">
        <f>C37*C28</f>
        <v>520</v>
      </c>
    </row>
    <row r="40" spans="2:15" ht="16.05" customHeight="1" x14ac:dyDescent="0.3">
      <c r="B40" s="11" t="s">
        <v>26</v>
      </c>
      <c r="C40" s="18">
        <f>C37*C29</f>
        <v>312</v>
      </c>
    </row>
    <row r="41" spans="2:15" ht="16.05" customHeight="1" x14ac:dyDescent="0.3">
      <c r="B41" s="10" t="s">
        <v>27</v>
      </c>
      <c r="C41" s="18">
        <f>SUM(C36:C40)</f>
        <v>2080.2600000000002</v>
      </c>
    </row>
    <row r="42" spans="2:15" ht="16.05" customHeight="1" x14ac:dyDescent="0.3">
      <c r="B42" s="11"/>
      <c r="C42" s="19"/>
    </row>
    <row r="43" spans="2:15" ht="16.05" customHeight="1" x14ac:dyDescent="0.3">
      <c r="B43" s="10" t="s">
        <v>28</v>
      </c>
      <c r="C43" s="19"/>
    </row>
    <row r="44" spans="2:15" ht="16.05" customHeight="1" x14ac:dyDescent="0.3">
      <c r="B44" s="11" t="s">
        <v>29</v>
      </c>
      <c r="C44" s="19">
        <f>C14</f>
        <v>500</v>
      </c>
    </row>
    <row r="45" spans="2:15" ht="16.05" customHeight="1" x14ac:dyDescent="0.3">
      <c r="B45" s="11" t="s">
        <v>30</v>
      </c>
      <c r="C45" s="19">
        <f>C21</f>
        <v>100</v>
      </c>
    </row>
    <row r="46" spans="2:15" ht="16.05" customHeight="1" x14ac:dyDescent="0.3">
      <c r="B46" s="11" t="s">
        <v>31</v>
      </c>
      <c r="C46" s="18">
        <f>C30*(1-C15)</f>
        <v>37.5</v>
      </c>
    </row>
    <row r="47" spans="2:15" ht="16.05" customHeight="1" x14ac:dyDescent="0.3">
      <c r="B47" s="11" t="s">
        <v>32</v>
      </c>
      <c r="C47" s="18">
        <f>C40*C16*(1-C15)</f>
        <v>11.700000000000001</v>
      </c>
    </row>
    <row r="48" spans="2:15" ht="16.05" customHeight="1" x14ac:dyDescent="0.3">
      <c r="B48" s="10" t="s">
        <v>33</v>
      </c>
      <c r="C48" s="20">
        <f>SUM(C44:C46)-C47-C31</f>
        <v>620.79999999999995</v>
      </c>
    </row>
    <row r="49" spans="2:3" ht="16.05" customHeight="1" x14ac:dyDescent="0.3">
      <c r="B49" s="11"/>
      <c r="C49" s="19"/>
    </row>
    <row r="50" spans="2:3" ht="16.05" customHeight="1" x14ac:dyDescent="0.3">
      <c r="B50" s="10" t="s">
        <v>34</v>
      </c>
      <c r="C50" s="19"/>
    </row>
    <row r="51" spans="2:3" ht="16.05" customHeight="1" x14ac:dyDescent="0.3">
      <c r="B51" s="11" t="s">
        <v>35</v>
      </c>
      <c r="C51" s="19">
        <f>C13</f>
        <v>100</v>
      </c>
    </row>
    <row r="52" spans="2:3" ht="16.05" customHeight="1" x14ac:dyDescent="0.3">
      <c r="B52" s="11" t="s">
        <v>36</v>
      </c>
      <c r="C52" s="19">
        <f>C39/C20</f>
        <v>13</v>
      </c>
    </row>
    <row r="53" spans="2:3" ht="16.05" customHeight="1" x14ac:dyDescent="0.3">
      <c r="B53" s="11" t="s">
        <v>37</v>
      </c>
      <c r="C53" s="21">
        <f>C51+C52</f>
        <v>113</v>
      </c>
    </row>
    <row r="54" spans="2:3" ht="16.05" customHeight="1" x14ac:dyDescent="0.3">
      <c r="B54" s="11"/>
      <c r="C54" s="19"/>
    </row>
    <row r="55" spans="2:3" ht="16.05" customHeight="1" x14ac:dyDescent="0.3">
      <c r="B55" s="27" t="s">
        <v>38</v>
      </c>
      <c r="C55" s="19"/>
    </row>
    <row r="56" spans="2:3" ht="16.05" customHeight="1" x14ac:dyDescent="0.3">
      <c r="B56" s="11"/>
      <c r="C56" s="19"/>
    </row>
    <row r="57" spans="2:3" ht="16.05" customHeight="1" x14ac:dyDescent="0.3">
      <c r="B57" s="11" t="s">
        <v>39</v>
      </c>
      <c r="C57" s="22">
        <f>C14/C13</f>
        <v>5</v>
      </c>
    </row>
    <row r="58" spans="2:3" ht="16.05" customHeight="1" x14ac:dyDescent="0.3">
      <c r="B58" s="11" t="s">
        <v>40</v>
      </c>
      <c r="C58" s="22">
        <f>C48/C53</f>
        <v>5.4938053097345128</v>
      </c>
    </row>
    <row r="59" spans="2:3" ht="16.05" customHeight="1" x14ac:dyDescent="0.3">
      <c r="B59" s="10" t="s">
        <v>41</v>
      </c>
      <c r="C59" s="23">
        <f>C58/C57-1</f>
        <v>9.8761061946902595E-2</v>
      </c>
    </row>
    <row r="60" spans="2:3" ht="16.05" customHeight="1" x14ac:dyDescent="0.3">
      <c r="B6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Poojitha Gujarathi</dc:creator>
  <cp:lastModifiedBy>Poojitha Gujarathi</cp:lastModifiedBy>
  <dcterms:created xsi:type="dcterms:W3CDTF">2026-03-07T00:38:49Z</dcterms:created>
  <dcterms:modified xsi:type="dcterms:W3CDTF">2026-03-09T03:25:41Z</dcterms:modified>
</cp:coreProperties>
</file>